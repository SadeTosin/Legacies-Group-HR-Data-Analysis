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LASADE\OneDrive\Desktop\Learning\DataSci Learn 10Alytics\PDF for Practice\Tableau Pract\"/>
    </mc:Choice>
  </mc:AlternateContent>
  <xr:revisionPtr revIDLastSave="0" documentId="13_ncr:1_{28F9C408-CB08-4A7E-B977-52EEE64F604C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Lagacies Group - HR Data" sheetId="1" r:id="rId1"/>
    <sheet name="Table 2" sheetId="2" r:id="rId2"/>
    <sheet name="Analysis1" sheetId="3" r:id="rId3"/>
    <sheet name="Analysis2" sheetId="4" r:id="rId4"/>
    <sheet name="Analysis3" sheetId="5" r:id="rId5"/>
  </sheets>
  <definedNames>
    <definedName name="LegaciesHRData">Table1[]</definedName>
    <definedName name="LegaciesHRData2">Table2[#All]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H5" i="2"/>
  <c r="H6" i="2"/>
  <c r="H7" i="2"/>
  <c r="H8" i="2"/>
  <c r="H9" i="2"/>
  <c r="H10" i="2"/>
  <c r="H11" i="2"/>
  <c r="H12" i="2"/>
  <c r="H13" i="2"/>
  <c r="H19" i="2"/>
  <c r="H21" i="2"/>
  <c r="H22" i="2"/>
  <c r="H23" i="2"/>
  <c r="H24" i="2"/>
  <c r="H25" i="2"/>
  <c r="H28" i="2"/>
  <c r="H29" i="2"/>
  <c r="H30" i="2"/>
  <c r="H31" i="2"/>
  <c r="H32" i="2"/>
  <c r="H33" i="2"/>
  <c r="H37" i="2"/>
  <c r="H43" i="2"/>
  <c r="H44" i="2"/>
  <c r="H46" i="2"/>
  <c r="H47" i="2"/>
  <c r="H48" i="2"/>
  <c r="H49" i="2"/>
  <c r="H50" i="2"/>
  <c r="H51" i="2"/>
  <c r="H52" i="2"/>
  <c r="H53" i="2"/>
  <c r="H54" i="2"/>
  <c r="H55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9" i="2"/>
  <c r="H80" i="2"/>
  <c r="H81" i="2"/>
  <c r="H82" i="2"/>
  <c r="H83" i="2"/>
  <c r="H85" i="2"/>
  <c r="H86" i="2"/>
  <c r="H92" i="2"/>
  <c r="H93" i="2"/>
  <c r="H94" i="2"/>
  <c r="H95" i="2"/>
  <c r="H97" i="2"/>
  <c r="H98" i="2"/>
  <c r="H99" i="2"/>
  <c r="H100" i="2"/>
  <c r="H101" i="2"/>
  <c r="H102" i="2"/>
  <c r="H103" i="2"/>
  <c r="H107" i="2"/>
  <c r="H108" i="2"/>
  <c r="H109" i="2"/>
  <c r="H110" i="2"/>
  <c r="H113" i="2"/>
  <c r="H115" i="2"/>
  <c r="H116" i="2"/>
  <c r="H117" i="2"/>
  <c r="H119" i="2"/>
  <c r="H120" i="2"/>
  <c r="H121" i="2"/>
  <c r="H122" i="2"/>
  <c r="H123" i="2"/>
  <c r="H127" i="2"/>
  <c r="H128" i="2"/>
  <c r="H129" i="2"/>
  <c r="H130" i="2"/>
  <c r="H131" i="2"/>
  <c r="H132" i="2"/>
  <c r="H133" i="2"/>
  <c r="H137" i="2"/>
  <c r="H138" i="2"/>
  <c r="H139" i="2"/>
  <c r="H140" i="2"/>
  <c r="H141" i="2"/>
  <c r="H142" i="2"/>
  <c r="H143" i="2"/>
  <c r="H150" i="2"/>
  <c r="H151" i="2"/>
  <c r="H153" i="2"/>
  <c r="H160" i="2"/>
  <c r="H161" i="2"/>
  <c r="H162" i="2"/>
  <c r="H163" i="2"/>
  <c r="H168" i="2"/>
  <c r="H169" i="2"/>
  <c r="H170" i="2"/>
  <c r="H171" i="2"/>
  <c r="H172" i="2"/>
  <c r="H173" i="2"/>
  <c r="H179" i="2"/>
  <c r="H180" i="2"/>
  <c r="H181" i="2"/>
  <c r="H182" i="2"/>
  <c r="H183" i="2"/>
  <c r="H184" i="2"/>
  <c r="H185" i="2"/>
  <c r="H191" i="2"/>
  <c r="H192" i="2"/>
  <c r="H193" i="2"/>
  <c r="H194" i="2"/>
  <c r="H195" i="2"/>
  <c r="H197" i="2"/>
  <c r="H198" i="2"/>
  <c r="H199" i="2"/>
  <c r="H201" i="2"/>
  <c r="H202" i="2"/>
  <c r="H203" i="2"/>
  <c r="H204" i="2"/>
  <c r="H205" i="2"/>
  <c r="H206" i="2"/>
  <c r="H210" i="2"/>
  <c r="H211" i="2"/>
  <c r="H212" i="2"/>
  <c r="H213" i="2"/>
  <c r="H217" i="2"/>
  <c r="H218" i="2"/>
  <c r="H220" i="2"/>
  <c r="H224" i="2"/>
  <c r="H225" i="2"/>
  <c r="H226" i="2"/>
  <c r="H227" i="2"/>
  <c r="H228" i="2"/>
  <c r="H229" i="2"/>
  <c r="H230" i="2"/>
  <c r="H231" i="2"/>
  <c r="H232" i="2"/>
  <c r="H242" i="2"/>
  <c r="H244" i="2"/>
  <c r="H245" i="2"/>
  <c r="H247" i="2"/>
  <c r="H248" i="2"/>
  <c r="H249" i="2"/>
  <c r="H250" i="2"/>
  <c r="H251" i="2"/>
  <c r="H252" i="2"/>
  <c r="H253" i="2"/>
  <c r="H259" i="2"/>
  <c r="H260" i="2"/>
  <c r="H261" i="2"/>
  <c r="H262" i="2"/>
  <c r="H263" i="2"/>
  <c r="H264" i="2"/>
  <c r="H270" i="2"/>
  <c r="H271" i="2"/>
  <c r="H273" i="2"/>
  <c r="H274" i="2"/>
  <c r="H276" i="2"/>
  <c r="H277" i="2"/>
  <c r="H278" i="2"/>
  <c r="H279" i="2"/>
  <c r="H280" i="2"/>
  <c r="H281" i="2"/>
  <c r="H282" i="2"/>
  <c r="H283" i="2"/>
  <c r="H284" i="2"/>
  <c r="H286" i="2"/>
  <c r="H287" i="2"/>
  <c r="H288" i="2"/>
  <c r="H289" i="2"/>
  <c r="H290" i="2"/>
  <c r="H291" i="2"/>
  <c r="H292" i="2"/>
  <c r="H293" i="2"/>
  <c r="H299" i="2"/>
  <c r="H300" i="2"/>
  <c r="H301" i="2"/>
  <c r="H302" i="2"/>
  <c r="H303" i="2"/>
  <c r="H304" i="2"/>
  <c r="H305" i="2"/>
  <c r="H306" i="2"/>
  <c r="H312" i="2"/>
  <c r="H14" i="2"/>
  <c r="H15" i="2"/>
  <c r="H16" i="2"/>
  <c r="H17" i="2"/>
  <c r="H18" i="2"/>
  <c r="H20" i="2"/>
  <c r="H34" i="2"/>
  <c r="H35" i="2"/>
  <c r="H36" i="2"/>
  <c r="H56" i="2"/>
  <c r="H57" i="2"/>
  <c r="H58" i="2"/>
  <c r="H59" i="2"/>
  <c r="H60" i="2"/>
  <c r="H61" i="2"/>
  <c r="H77" i="2"/>
  <c r="H78" i="2"/>
  <c r="H84" i="2"/>
  <c r="H96" i="2"/>
  <c r="H104" i="2"/>
  <c r="H114" i="2"/>
  <c r="H124" i="2"/>
  <c r="H134" i="2"/>
  <c r="H135" i="2"/>
  <c r="H136" i="2"/>
  <c r="H144" i="2"/>
  <c r="H152" i="2"/>
  <c r="H154" i="2"/>
  <c r="H155" i="2"/>
  <c r="H156" i="2"/>
  <c r="H157" i="2"/>
  <c r="H158" i="2"/>
  <c r="H159" i="2"/>
  <c r="H164" i="2"/>
  <c r="H174" i="2"/>
  <c r="H175" i="2"/>
  <c r="H176" i="2"/>
  <c r="H177" i="2"/>
  <c r="H178" i="2"/>
  <c r="H196" i="2"/>
  <c r="H200" i="2"/>
  <c r="H214" i="2"/>
  <c r="H215" i="2"/>
  <c r="H216" i="2"/>
  <c r="H233" i="2"/>
  <c r="H234" i="2"/>
  <c r="H235" i="2"/>
  <c r="H236" i="2"/>
  <c r="H237" i="2"/>
  <c r="H238" i="2"/>
  <c r="H239" i="2"/>
  <c r="H240" i="2"/>
  <c r="H241" i="2"/>
  <c r="H243" i="2"/>
  <c r="H254" i="2"/>
  <c r="H255" i="2"/>
  <c r="H256" i="2"/>
  <c r="H257" i="2"/>
  <c r="H258" i="2"/>
  <c r="H272" i="2"/>
  <c r="H275" i="2"/>
  <c r="H294" i="2"/>
  <c r="H295" i="2"/>
  <c r="H296" i="2"/>
  <c r="H4" i="2"/>
  <c r="H26" i="2"/>
  <c r="H27" i="2"/>
  <c r="H38" i="2"/>
  <c r="H39" i="2"/>
  <c r="H40" i="2"/>
  <c r="H41" i="2"/>
  <c r="H42" i="2"/>
  <c r="H45" i="2"/>
  <c r="H87" i="2"/>
  <c r="H88" i="2"/>
  <c r="H89" i="2"/>
  <c r="H90" i="2"/>
  <c r="H91" i="2"/>
  <c r="H105" i="2"/>
  <c r="H106" i="2"/>
  <c r="H111" i="2"/>
  <c r="H112" i="2"/>
  <c r="H118" i="2"/>
  <c r="H125" i="2"/>
  <c r="H126" i="2"/>
  <c r="H145" i="2"/>
  <c r="H146" i="2"/>
  <c r="H147" i="2"/>
  <c r="H148" i="2"/>
  <c r="H149" i="2"/>
  <c r="H165" i="2"/>
  <c r="H166" i="2"/>
  <c r="H167" i="2"/>
  <c r="H186" i="2"/>
  <c r="H187" i="2"/>
  <c r="H188" i="2"/>
  <c r="H189" i="2"/>
  <c r="H190" i="2"/>
  <c r="H207" i="2"/>
  <c r="H208" i="2"/>
  <c r="H209" i="2"/>
  <c r="H219" i="2"/>
  <c r="H221" i="2"/>
  <c r="H222" i="2"/>
  <c r="H223" i="2"/>
  <c r="H246" i="2"/>
  <c r="H265" i="2"/>
  <c r="H266" i="2"/>
  <c r="H267" i="2"/>
  <c r="H268" i="2"/>
  <c r="H269" i="2"/>
  <c r="H285" i="2"/>
  <c r="H297" i="2"/>
  <c r="H298" i="2"/>
  <c r="H307" i="2"/>
  <c r="H308" i="2"/>
  <c r="H309" i="2"/>
  <c r="H310" i="2"/>
  <c r="H311" i="2"/>
  <c r="H2" i="2"/>
  <c r="H3" i="2" l="1"/>
</calcChain>
</file>

<file path=xl/sharedStrings.xml><?xml version="1.0" encoding="utf-8"?>
<sst xmlns="http://schemas.openxmlformats.org/spreadsheetml/2006/main" count="5825" uniqueCount="612">
  <si>
    <t>Employee_Name</t>
  </si>
  <si>
    <t>EmpID</t>
  </si>
  <si>
    <t>Position</t>
  </si>
  <si>
    <t>DOB</t>
  </si>
  <si>
    <t>Sex</t>
  </si>
  <si>
    <t>MaritalDesc</t>
  </si>
  <si>
    <t>CitizenDesc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</si>
  <si>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</si>
  <si>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</si>
  <si>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</si>
  <si>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</si>
  <si>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</si>
  <si>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</si>
  <si>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</si>
  <si>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</si>
  <si>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</si>
  <si>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</si>
  <si>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</si>
  <si>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</si>
  <si>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LastPerformanceReview_Date</t>
  </si>
  <si>
    <t>Absences</t>
  </si>
  <si>
    <t>Adinolfi, Wilson  K</t>
  </si>
  <si>
    <t>Production Technician I</t>
  </si>
  <si>
    <t xml:space="preserve">M </t>
  </si>
  <si>
    <t>Single</t>
  </si>
  <si>
    <t>US Citizen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</si>
  <si>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</si>
  <si>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</si>
  <si>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</si>
  <si>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</si>
  <si>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</si>
  <si>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</si>
  <si>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</si>
  <si>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</si>
  <si>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</si>
  <si>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</si>
  <si>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</si>
  <si>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</si>
  <si>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</si>
  <si>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</si>
  <si>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</si>
  <si>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</si>
  <si>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</si>
  <si>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</si>
  <si>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</si>
  <si>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</si>
  <si>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</si>
  <si>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F</t>
  </si>
  <si>
    <t>hours</t>
  </si>
  <si>
    <t>Kissy Sullivan</t>
  </si>
  <si>
    <t>5/15/2012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</si>
  <si>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</si>
  <si>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</si>
  <si>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</si>
  <si>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</si>
  <si>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</si>
  <si>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</si>
  <si>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</si>
  <si>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</si>
  <si>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</si>
  <si>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</si>
  <si>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</si>
  <si>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</si>
  <si>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</si>
  <si>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</si>
  <si>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</si>
  <si>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</si>
  <si>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</si>
  <si>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</si>
  <si>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</si>
  <si>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</si>
  <si>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</si>
  <si>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</si>
  <si>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</si>
  <si>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</si>
  <si>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</si>
  <si>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</si>
  <si>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</si>
  <si>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</si>
  <si>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Another position</t>
  </si>
  <si>
    <t>David Stanley</t>
  </si>
  <si>
    <t>1/30/2016</t>
  </si>
  <si>
    <t>Barbara, Thomas</t>
  </si>
  <si>
    <t>unhappy</t>
  </si>
  <si>
    <t>Barbossa, Hector</t>
  </si>
  <si>
    <t>Data Analyst</t>
  </si>
  <si>
    <t>Barone, Francesco  A</t>
  </si>
  <si>
    <t>Two or more races</t>
  </si>
  <si>
    <t>2/20/2012</t>
  </si>
  <si>
    <t>Kelley Spirea</t>
  </si>
  <si>
    <t>2/14/2019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</si>
  <si>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</si>
  <si>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</si>
  <si>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</si>
  <si>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</si>
  <si>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</si>
  <si>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</si>
  <si>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>1/14/2019</t>
  </si>
  <si>
    <t xml:space="preserve">Beatrice, Courtney 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</si>
  <si>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</si>
  <si>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</si>
  <si>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</si>
  <si>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</si>
  <si>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</si>
  <si>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</si>
  <si>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</si>
  <si>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</si>
  <si>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Biden, Lowan  M</t>
  </si>
  <si>
    <t>Billis, Helen</t>
  </si>
  <si>
    <t>2/27/2019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</si>
  <si>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</si>
  <si>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</si>
  <si>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</si>
  <si>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</si>
  <si>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</si>
  <si>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</si>
  <si>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</si>
  <si>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</si>
  <si>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</si>
  <si>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</si>
  <si>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</si>
  <si>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</si>
  <si>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</si>
  <si>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</si>
  <si>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</si>
  <si>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</si>
  <si>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</si>
  <si>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Brown, Mia</t>
  </si>
  <si>
    <t>Accountant I</t>
  </si>
  <si>
    <t>1/15/2019</t>
  </si>
  <si>
    <t xml:space="preserve">Buccheri, Joseph  </t>
  </si>
  <si>
    <t xml:space="preserve">Bugali, Josephine </t>
  </si>
  <si>
    <t>Separated</t>
  </si>
  <si>
    <t>1/21/2019</t>
  </si>
  <si>
    <t>Bunbury, Jessica</t>
  </si>
  <si>
    <t>Area Sales Manager</t>
  </si>
  <si>
    <t>Sales</t>
  </si>
  <si>
    <t>John Smith</t>
  </si>
  <si>
    <t>Burke, Joelle</t>
  </si>
  <si>
    <t>2/21/2019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</si>
  <si>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</si>
  <si>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</si>
  <si>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</si>
  <si>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</si>
  <si>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</si>
  <si>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2/22/2019</t>
  </si>
  <si>
    <t>Carabbio, Judith</t>
  </si>
  <si>
    <t>1/30/2019</t>
  </si>
  <si>
    <t xml:space="preserve">Carey, Michael  </t>
  </si>
  <si>
    <t>Carr, Claudia  N</t>
  </si>
  <si>
    <t xml:space="preserve">Carter, Michelle 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</si>
  <si>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</si>
  <si>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</si>
  <si>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</si>
  <si>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</si>
  <si>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</si>
  <si>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</si>
  <si>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Chigurh, Anton</t>
  </si>
  <si>
    <t>Lynn Daneault</t>
  </si>
  <si>
    <t>1/19/2019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</si>
  <si>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</si>
  <si>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</si>
  <si>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</si>
  <si>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</si>
  <si>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</si>
  <si>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</si>
  <si>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</si>
  <si>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</si>
  <si>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</si>
  <si>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2/28/2019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</si>
  <si>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</si>
  <si>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</si>
  <si>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</si>
  <si>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</si>
  <si>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</si>
  <si>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</si>
  <si>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</si>
  <si>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</si>
  <si>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</si>
  <si>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</si>
  <si>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</si>
  <si>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</si>
  <si>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</si>
  <si>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</si>
  <si>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Debra Houlihan</t>
  </si>
  <si>
    <t>1/24/2019</t>
  </si>
  <si>
    <t xml:space="preserve">Daniele, Ann  </t>
  </si>
  <si>
    <t xml:space="preserve">Darson, Jene'ya </t>
  </si>
  <si>
    <t>Davis, Daniel</t>
  </si>
  <si>
    <t>Dee, Randy</t>
  </si>
  <si>
    <t>1/31/2019</t>
  </si>
  <si>
    <t>DeGweck,  James</t>
  </si>
  <si>
    <t>Del Bosque, Keyla</t>
  </si>
  <si>
    <t>Delarge, Alex</t>
  </si>
  <si>
    <t>PIP</t>
  </si>
  <si>
    <t>Demita, Carla</t>
  </si>
  <si>
    <t>more money</t>
  </si>
  <si>
    <t xml:space="preserve">Desimone, Carl 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</si>
  <si>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</si>
  <si>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</si>
  <si>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</si>
  <si>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</si>
  <si>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</si>
  <si>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</si>
  <si>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 xml:space="preserve">Dietrich, Jenna  </t>
  </si>
  <si>
    <t>Website</t>
  </si>
  <si>
    <t>1/29/2019</t>
  </si>
  <si>
    <t xml:space="preserve">DiNocco, Lily </t>
  </si>
  <si>
    <t>1/18/2019</t>
  </si>
  <si>
    <t>Dobrin, Denisa  S</t>
  </si>
  <si>
    <t>Dolan, Linda</t>
  </si>
  <si>
    <t>Dougall, Eric</t>
  </si>
  <si>
    <t>IT Manager - Support</t>
  </si>
  <si>
    <t>Driver, Elle</t>
  </si>
  <si>
    <t>1/27/2019</t>
  </si>
  <si>
    <t xml:space="preserve">Dunn, Amy  </t>
  </si>
  <si>
    <t>Dunne, Amy</t>
  </si>
  <si>
    <t>Eaton, Marianne</t>
  </si>
  <si>
    <t>military</t>
  </si>
  <si>
    <t>Engdahl, Jean</t>
  </si>
  <si>
    <t>2/13/2019</t>
  </si>
  <si>
    <t>England, Rex</t>
  </si>
  <si>
    <t>Erilus, Angela</t>
  </si>
  <si>
    <t>Estremera, Miguel</t>
  </si>
  <si>
    <t>Evensen, April</t>
  </si>
  <si>
    <t>no-call, no-show</t>
  </si>
  <si>
    <t>1/15/2017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</si>
  <si>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</si>
  <si>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</si>
  <si>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</si>
  <si>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</si>
  <si>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</si>
  <si>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</si>
  <si>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</si>
  <si>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</si>
  <si>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</si>
  <si>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</si>
  <si>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</si>
  <si>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</si>
  <si>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</si>
  <si>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</si>
  <si>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</si>
  <si>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</si>
  <si>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</si>
  <si>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</si>
  <si>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</si>
  <si>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</si>
  <si>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</si>
  <si>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2/26/2019</t>
  </si>
  <si>
    <t>Gentry, Mildred</t>
  </si>
  <si>
    <t>1/16/2019</t>
  </si>
  <si>
    <t>Gerke, Melisa</t>
  </si>
  <si>
    <t>4/29/2016</t>
  </si>
  <si>
    <t xml:space="preserve">Gill, Whitney  </t>
  </si>
  <si>
    <t>1/15/2014</t>
  </si>
  <si>
    <t>Gilles, Alex</t>
  </si>
  <si>
    <t>1/20/2015</t>
  </si>
  <si>
    <t>Girifalco, Evelyn</t>
  </si>
  <si>
    <t>Givens, Myriam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</si>
  <si>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</si>
  <si>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</si>
  <si>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</si>
  <si>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</si>
  <si>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</si>
  <si>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</si>
  <si>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</si>
  <si>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</si>
  <si>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</si>
  <si>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</si>
  <si>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</si>
  <si>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</si>
  <si>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</si>
  <si>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</si>
  <si>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Gruber, Hans</t>
  </si>
  <si>
    <t>Guilianno, Mike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</si>
  <si>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</si>
  <si>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</si>
  <si>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</si>
  <si>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</si>
  <si>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</si>
  <si>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</si>
  <si>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1/30/2013</t>
  </si>
  <si>
    <t>Hitchcock, Alfred</t>
  </si>
  <si>
    <t>Homberger, Adrienne  J</t>
  </si>
  <si>
    <t>Horton, Jayne</t>
  </si>
  <si>
    <t>Houlihan, Debra</t>
  </si>
  <si>
    <t>Director of Sales</t>
  </si>
  <si>
    <t>Howard, Estelle</t>
  </si>
  <si>
    <t>Administrative Assistant</t>
  </si>
  <si>
    <t>4/15/2015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</si>
  <si>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</si>
  <si>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</si>
  <si>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</si>
  <si>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</si>
  <si>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</si>
  <si>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</si>
  <si>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</si>
  <si>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</si>
  <si>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</si>
  <si>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</si>
  <si>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</si>
  <si>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>2/14/2018</t>
  </si>
  <si>
    <t xml:space="preserve">Johnson, Noelle </t>
  </si>
  <si>
    <t>Johnston, Yen</t>
  </si>
  <si>
    <t xml:space="preserve">Jung, Judy  </t>
  </si>
  <si>
    <t>Kampew, Donysha</t>
  </si>
  <si>
    <t>maternity leave - did not return</t>
  </si>
  <si>
    <t>3/30/2013</t>
  </si>
  <si>
    <t xml:space="preserve">Keatts, Kramer </t>
  </si>
  <si>
    <t>Khemmich, Bartholemew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</si>
  <si>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</si>
  <si>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</si>
  <si>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</si>
  <si>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</si>
  <si>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</si>
  <si>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</si>
  <si>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</si>
  <si>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</si>
  <si>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Lajiri,  Jyoti</t>
  </si>
  <si>
    <t>Landa, Hans</t>
  </si>
  <si>
    <t>2/15/2015</t>
  </si>
  <si>
    <t>Langford, Lindsey</t>
  </si>
  <si>
    <t>Langton, Enrico</t>
  </si>
  <si>
    <t xml:space="preserve">LaRotonda, William  </t>
  </si>
  <si>
    <t>Latif, Mohammed</t>
  </si>
  <si>
    <t>2/20/2013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</si>
  <si>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</si>
  <si>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</si>
  <si>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</si>
  <si>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</si>
  <si>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</si>
  <si>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</si>
  <si>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</si>
  <si>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</si>
  <si>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</si>
  <si>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</si>
  <si>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</si>
  <si>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</si>
  <si>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</si>
  <si>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</si>
  <si>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</si>
  <si>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</si>
  <si>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</si>
  <si>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</si>
  <si>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</si>
  <si>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</si>
  <si>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</si>
  <si>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</si>
  <si>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</si>
  <si>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</si>
  <si>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</si>
  <si>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</si>
  <si>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</si>
  <si>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</si>
  <si>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Hispanic</t>
  </si>
  <si>
    <t>Miller, Ned</t>
  </si>
  <si>
    <t>1/14/2013</t>
  </si>
  <si>
    <t>Monkfish, Erasumus</t>
  </si>
  <si>
    <t>Monroe, Peter</t>
  </si>
  <si>
    <t>IT Manager - Infra</t>
  </si>
  <si>
    <t>2/15/2012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</si>
  <si>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</si>
  <si>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</si>
  <si>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</si>
  <si>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</si>
  <si>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</si>
  <si>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</si>
  <si>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</si>
  <si>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</si>
  <si>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</si>
  <si>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</si>
  <si>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</si>
  <si>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</si>
  <si>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Nguyen, Lei-Ming</t>
  </si>
  <si>
    <t>Nowlan, Kristie</t>
  </si>
  <si>
    <t>O'hare, Lynn</t>
  </si>
  <si>
    <t xml:space="preserve">Oliver, Brooke </t>
  </si>
  <si>
    <t>Onque, Jasmine</t>
  </si>
  <si>
    <t>Osturnka, Adeel</t>
  </si>
  <si>
    <t>Owad, Clinton</t>
  </si>
  <si>
    <t>Ozark, Travis</t>
  </si>
  <si>
    <t>Panjwani, Nina</t>
  </si>
  <si>
    <t>Patronick, Lucas</t>
  </si>
  <si>
    <t>8/16/2015</t>
  </si>
  <si>
    <t>Pearson, Randall</t>
  </si>
  <si>
    <t>1/16/2016</t>
  </si>
  <si>
    <t>Smith, Martin</t>
  </si>
  <si>
    <t>Pelletier, Ermine</t>
  </si>
  <si>
    <t>Perry, Shakira</t>
  </si>
  <si>
    <t>medical issues</t>
  </si>
  <si>
    <t>5/13/2014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</si>
  <si>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</si>
  <si>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</si>
  <si>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</si>
  <si>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</si>
  <si>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</si>
  <si>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</si>
  <si>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</si>
  <si>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Power, Morissa</t>
  </si>
  <si>
    <t xml:space="preserve">Punjabhi, Louis  </t>
  </si>
  <si>
    <t>Purinton, Janine</t>
  </si>
  <si>
    <t>Quinn, Sean</t>
  </si>
  <si>
    <t>4/19/2014</t>
  </si>
  <si>
    <t>Rachael, Maggie</t>
  </si>
  <si>
    <t>Rarrick, Quinn</t>
  </si>
  <si>
    <t>Ren, Kylo</t>
  </si>
  <si>
    <t>Rhoads, Thomas</t>
  </si>
  <si>
    <t xml:space="preserve">Rivera, Haley  </t>
  </si>
  <si>
    <t>Roberson, May</t>
  </si>
  <si>
    <t>10/22/2011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</si>
  <si>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</si>
  <si>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</si>
  <si>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</si>
  <si>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</si>
  <si>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</si>
  <si>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</si>
  <si>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</si>
  <si>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2/13/2018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</si>
  <si>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</si>
  <si>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</si>
  <si>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</si>
  <si>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</si>
  <si>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</si>
  <si>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</si>
  <si>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</si>
  <si>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</si>
  <si>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</si>
  <si>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</si>
  <si>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</si>
  <si>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</si>
  <si>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</si>
  <si>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4/20/2015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</si>
  <si>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</si>
  <si>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</si>
  <si>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</si>
  <si>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</si>
  <si>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</si>
  <si>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</si>
  <si>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</si>
  <si>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</si>
  <si>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</si>
  <si>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</si>
  <si>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8/15/2013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</si>
  <si>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</si>
  <si>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</si>
  <si>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</si>
  <si>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</si>
  <si>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</si>
  <si>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</si>
  <si>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</si>
  <si>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</si>
  <si>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 xml:space="preserve">Steans, Tyrone  </t>
  </si>
  <si>
    <t>Stoica, Rick</t>
  </si>
  <si>
    <t>Strong, Caitrin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</si>
  <si>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</si>
  <si>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</si>
  <si>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</si>
  <si>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</si>
  <si>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</si>
  <si>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</si>
  <si>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</si>
  <si>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>4/18/2017</t>
  </si>
  <si>
    <t xml:space="preserve">Terry, Sharlene </t>
  </si>
  <si>
    <t>Theamstern, Sophia</t>
  </si>
  <si>
    <t>Thibaud, Kenneth</t>
  </si>
  <si>
    <t>7/14/2010</t>
  </si>
  <si>
    <t>Tippett, Jeanette</t>
  </si>
  <si>
    <t>Torrence, Jack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</si>
  <si>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</si>
  <si>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</si>
  <si>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</si>
  <si>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</si>
  <si>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</si>
  <si>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</si>
  <si>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 xml:space="preserve">Veera, Abdellah </t>
  </si>
  <si>
    <t>Vega, Vincent</t>
  </si>
  <si>
    <t>Villanueva, Noah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</si>
  <si>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</si>
  <si>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</si>
  <si>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</si>
  <si>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</si>
  <si>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</si>
  <si>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</si>
  <si>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</si>
  <si>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</si>
  <si>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</si>
  <si>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</si>
  <si>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5/15/2014</t>
  </si>
  <si>
    <t>Wilber, Barry</t>
  </si>
  <si>
    <t>Wilkes, Annie</t>
  </si>
  <si>
    <t xml:space="preserve">Williams, Jacquelyn  </t>
  </si>
  <si>
    <t xml:space="preserve">Winthrop, Jordan  </t>
  </si>
  <si>
    <t>1/19/2016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</si>
  <si>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</si>
  <si>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</si>
  <si>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</si>
  <si>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</si>
  <si>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</si>
  <si>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</si>
  <si>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</si>
  <si>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/>
  </si>
  <si>
    <t>LastPerformanceReview</t>
  </si>
  <si>
    <t>Date</t>
  </si>
  <si>
    <t>Row Labels</t>
  </si>
  <si>
    <t>Grand Total</t>
  </si>
  <si>
    <t>Sum of Absences</t>
  </si>
  <si>
    <t>Count of Absences</t>
  </si>
  <si>
    <t>1951</t>
  </si>
  <si>
    <t>Qtr1</t>
  </si>
  <si>
    <t>1952</t>
  </si>
  <si>
    <t>Qtr3</t>
  </si>
  <si>
    <t>1953</t>
  </si>
  <si>
    <t>Qtr2</t>
  </si>
  <si>
    <t>1954</t>
  </si>
  <si>
    <t>Qtr4</t>
  </si>
  <si>
    <t>1955</t>
  </si>
  <si>
    <t>1958</t>
  </si>
  <si>
    <t>1959</t>
  </si>
  <si>
    <t>1961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</si>
  <si>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</si>
  <si>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</si>
  <si>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</si>
  <si>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</si>
  <si>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</si>
  <si>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</si>
  <si>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</si>
  <si>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</si>
  <si>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</si>
  <si>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</si>
  <si>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</si>
  <si>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</si>
  <si>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</si>
  <si>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</si>
  <si>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</si>
  <si>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</si>
  <si>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</si>
  <si>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</si>
  <si>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</si>
  <si>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</si>
  <si>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</si>
  <si>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</si>
  <si>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</si>
  <si>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</si>
  <si>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</si>
  <si>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</si>
  <si>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</si>
  <si>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</si>
  <si>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</si>
  <si>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</si>
  <si>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</si>
  <si>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</si>
  <si>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</si>
  <si>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</si>
  <si>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</si>
  <si>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</si>
  <si>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</si>
  <si>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</si>
  <si>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</si>
  <si>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</si>
  <si>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Count of Absences2</t>
  </si>
  <si>
    <t>2006</t>
  </si>
  <si>
    <t>2007</t>
  </si>
  <si>
    <t>2008</t>
  </si>
  <si>
    <t>2009</t>
  </si>
  <si>
    <t>Very Good</t>
  </si>
  <si>
    <t>Good</t>
  </si>
  <si>
    <t>Fair</t>
  </si>
  <si>
    <t>EmpSatisfactionPoor</t>
  </si>
  <si>
    <t>Poor</t>
  </si>
  <si>
    <t>Very Poor</t>
  </si>
  <si>
    <t>Timing Series</t>
  </si>
  <si>
    <t>Date of Hire</t>
  </si>
  <si>
    <t>Last Review Date</t>
  </si>
  <si>
    <t>Date of Termination</t>
  </si>
  <si>
    <t>Jan</t>
  </si>
  <si>
    <t>Feb</t>
  </si>
  <si>
    <t>Termination Year</t>
  </si>
  <si>
    <t>Count</t>
  </si>
  <si>
    <t>Last Review Year</t>
  </si>
  <si>
    <t>Group-DateHire</t>
  </si>
  <si>
    <t>Year-06/07</t>
  </si>
  <si>
    <t>Year-08/09</t>
  </si>
  <si>
    <t>Year-10/11</t>
  </si>
  <si>
    <t>Year-12/13</t>
  </si>
  <si>
    <t>Year-14/15</t>
  </si>
  <si>
    <t>Year-16/17</t>
  </si>
  <si>
    <t>Year-18/19</t>
  </si>
  <si>
    <t>LastPerformanceReview2</t>
  </si>
  <si>
    <t>Employee ID</t>
  </si>
  <si>
    <t>Absence by age</t>
  </si>
  <si>
    <t>Absence by gender</t>
  </si>
  <si>
    <t xml:space="preserve">Absence by marital status </t>
  </si>
  <si>
    <t xml:space="preserve">Absence by department </t>
  </si>
  <si>
    <t>Absence by manager</t>
  </si>
  <si>
    <t>Absence by tenure</t>
  </si>
  <si>
    <t xml:space="preserve">Employee satisfaction by absence </t>
  </si>
  <si>
    <t>Department by position</t>
  </si>
  <si>
    <t>Employee by department with absence</t>
  </si>
  <si>
    <t>Term reason and absence</t>
  </si>
  <si>
    <t xml:space="preserve">Recruitment source vs absence </t>
  </si>
  <si>
    <t xml:space="preserve">Last performance vs absence </t>
  </si>
  <si>
    <t xml:space="preserve">Employee_id vs absence </t>
  </si>
  <si>
    <t xml:space="preserve">Date of hire, date of termination vs absence </t>
  </si>
  <si>
    <t>No of employees per departments vs no of absences</t>
  </si>
  <si>
    <t xml:space="preserve">Employee vs department </t>
  </si>
  <si>
    <t>Performance score vs last review date</t>
  </si>
  <si>
    <t>Term reason vs term date</t>
  </si>
  <si>
    <t>Slicers</t>
  </si>
  <si>
    <t>year</t>
  </si>
  <si>
    <t>department </t>
  </si>
  <si>
    <t>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</si>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</sst>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16" fillId="0" borderId="0" xfId="0" applyFont="1"/>
    <xf numFmtId="14" fontId="0" fillId="0" borderId="0" xfId="0" applyNumberForma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LASADE" refreshedDate="45111.055687268519" createdVersion="8" refreshedVersion="8" minRefreshableVersion="3" recordCount="311" xr:uid="{344FBFD0-D313-4E5C-A135-3CC83945F2C0}">
  <cacheSource type="worksheet">
    <worksheetSource name="LegaciesHRData"/>
  </cacheSource>
  <cacheFields count="31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Position" numFmtId="0">
      <sharedItems count="32">
        <s v="Production Technician I"/>
        <s v="Sr. DBA"/>
        <s v="Production Technician II"/>
        <s v="Software Engineer"/>
        <s v="IT Support"/>
        <s v="Data Analyst"/>
        <s v="Database Administrator"/>
        <s v="Enterprise Architect"/>
        <s v="Sr. Accountant"/>
        <s v="Production Manager"/>
        <s v="Accountant I"/>
        <s v="Area Sales Manager"/>
        <s v="Software Engineering Manager"/>
        <s v="BI Director"/>
        <s v="Director of Operations"/>
        <s v="Sr. Network Engineer"/>
        <s v="Sales Manager"/>
        <s v="BI Developer"/>
        <s v="IT Manager - Support"/>
        <s v="Network Engineer"/>
        <s v="IT Director"/>
        <s v="Director of Sales"/>
        <s v="Administrative Assistant"/>
        <s v="President &amp; CEO"/>
        <s v="Senior BI Developer"/>
        <s v="Shared Services Manager"/>
        <s v="IT Manager - Infra"/>
        <s v="Principal Data Architect"/>
        <s v="Data Architect"/>
        <s v="IT Manager - DB"/>
        <s v="Data Analyst "/>
        <s v="CIO"/>
      </sharedItems>
    </cacheField>
    <cacheField name="DOB" numFmtId="14">
      <sharedItems containsSemiMixedTypes="0" containsNonDate="0" containsDate="1" containsString="0" minDate="1951-01-02T00:00:00" maxDate="1992-08-18T00:00:00" count="303">
        <d v="1983-07-10T00:00:00"/>
        <d v="1975-05-05T00:00:00"/>
        <d v="1988-09-19T00:00:00"/>
        <d v="1988-09-27T00:00:00"/>
        <d v="1989-09-08T00:00:00"/>
        <d v="1977-05-22T00:00:00"/>
        <d v="1979-05-24T00:00:00"/>
        <d v="1983-02-18T00:00:00"/>
        <d v="1970-02-11T00:00:00"/>
        <d v="1988-01-07T00:00:00"/>
        <d v="1974-01-12T00:00:00"/>
        <d v="1974-02-21T00:00:00"/>
        <d v="1988-07-04T00:00:00"/>
        <d v="1983-07-20T00:00:00"/>
        <d v="1977-07-15T00:00:00"/>
        <d v="1981-10-18T00:00:00"/>
        <d v="1966-04-17T00:00:00"/>
        <d v="1970-10-27T00:00:00"/>
        <d v="1986-04-04T00:00:00"/>
        <d v="1979-04-06T00:00:00"/>
        <d v="1970-02-22T00:00:00"/>
        <d v="1958-02-27T00:00:00"/>
        <d v="1989-09-01T00:00:00"/>
        <d v="1990-09-21T00:00:00"/>
        <d v="1967-01-16T00:00:00"/>
        <d v="1964-07-30T00:00:00"/>
        <d v="1987-04-04T00:00:00"/>
        <d v="1970-03-10T00:00:00"/>
        <d v="1990-08-24T00:00:00"/>
        <d v="1987-01-24T00:00:00"/>
        <d v="1983-07-28T00:00:00"/>
        <d v="1969-10-30T00:00:00"/>
        <d v="1964-06-01T00:00:00"/>
        <d v="1980-03-02T00:00:00"/>
        <d v="1977-08-19T00:00:00"/>
        <d v="1966-01-22T00:00:00"/>
        <d v="1983-08-09T00:00:00"/>
        <d v="1987-04-05T00:00:00"/>
        <d v="1983-02-02T00:00:00"/>
        <d v="1986-06-06T00:00:00"/>
        <d v="1963-05-15T00:00:00"/>
        <d v="1951-01-02T00:00:00"/>
        <d v="1972-02-09T00:00:00"/>
        <d v="1979-02-12T00:00:00"/>
        <d v="1983-08-24T00:00:00"/>
        <d v="1970-06-11T00:00:00"/>
        <d v="1983-08-27T00:00:00"/>
        <d v="1988-05-31T00:00:00"/>
        <d v="1985-09-05T00:00:00"/>
        <d v="1981-08-31T00:00:00"/>
        <d v="1978-01-25T00:00:00"/>
        <d v="1980-08-26T00:00:00"/>
        <d v="1977-09-08T00:00:00"/>
        <d v="1979-08-12T00:00:00"/>
        <d v="1975-02-17T00:00:00"/>
        <d v="1983-03-19T00:00:00"/>
        <d v="1977-03-31T00:00:00"/>
        <d v="1986-08-26T00:00:00"/>
        <d v="1987-04-10T00:00:00"/>
        <d v="1965-09-09T00:00:00"/>
        <d v="1990-04-19T00:00:00"/>
        <d v="1952-01-18T00:00:00"/>
        <d v="1978-01-05T00:00:00"/>
        <d v="1979-09-14T00:00:00"/>
        <d v="1988-04-15T00:00:00"/>
        <d v="1977-10-31T00:00:00"/>
        <d v="1979-07-05T00:00:00"/>
        <d v="1975-01-02T00:00:00"/>
        <d v="1951-02-25T00:00:00"/>
        <d v="1967-04-19T00:00:00"/>
        <d v="1983-09-04T00:00:00"/>
        <d v="1982-01-15T00:00:00"/>
        <d v="1987-05-14T00:00:00"/>
        <d v="1978-02-02T00:00:00"/>
        <d v="1986-10-07T00:00:00"/>
        <d v="1988-07-18T00:00:00"/>
        <d v="1970-07-09T00:00:00"/>
        <d v="1988-01-08T00:00:00"/>
        <d v="1973-01-28T00:00:00"/>
        <d v="1973-09-23T00:00:00"/>
        <d v="1991-09-05T00:00:00"/>
        <d v="1974-05-31T00:00:00"/>
        <d v="1978-08-25T00:00:00"/>
        <d v="1989-08-25T00:00:00"/>
        <d v="1983-09-02T00:00:00"/>
        <d v="1989-05-06T00:00:00"/>
        <d v="1987-05-15T00:00:00"/>
        <d v="1978-09-22T00:00:00"/>
        <d v="1987-09-27T00:00:00"/>
        <d v="1955-04-14T00:00:00"/>
        <d v="1989-10-18T00:00:00"/>
        <d v="1987-06-18T00:00:00"/>
        <d v="1981-03-16T00:00:00"/>
        <d v="1981-10-01T00:00:00"/>
        <d v="1983-01-08T00:00:00"/>
        <d v="1975-07-07T00:00:00"/>
        <d v="1980-07-05T00:00:00"/>
        <d v="1979-04-16T00:00:00"/>
        <d v="1963-08-28T00:00:00"/>
        <d v="1968-07-06T00:00:00"/>
        <d v="1985-09-15T00:00:00"/>
        <d v="1990-10-01T00:00:00"/>
        <d v="1970-05-15T00:00:00"/>
        <d v="1971-07-10T00:00:00"/>
        <d v="1974-08-09T00:00:00"/>
        <d v="1980-05-08T00:00:00"/>
        <d v="1989-09-22T00:00:00"/>
        <d v="1971-10-23T00:00:00"/>
        <d v="1989-01-24T00:00:00"/>
        <d v="1992-06-18T00:00:00"/>
        <d v="1969-09-29T00:00:00"/>
        <d v="1964-10-12T00:00:00"/>
        <d v="1981-04-16T00:00:00"/>
        <d v="1986-05-25T00:00:00"/>
        <d v="1979-05-21T00:00:00"/>
        <d v="1983-02-08T00:00:00"/>
        <d v="1974-10-09T00:00:00"/>
        <d v="1981-07-11T00:00:00"/>
        <d v="1983-05-21T00:00:00"/>
        <d v="1989-06-30T00:00:00"/>
        <d v="1969-02-09T00:00:00"/>
        <d v="1977-03-23T00:00:00"/>
        <d v="1988-08-10T00:00:00"/>
        <d v="1952-08-18T00:00:00"/>
        <d v="1974-05-02T00:00:00"/>
        <d v="1984-01-04T00:00:00"/>
        <d v="1972-08-27T00:00:00"/>
        <d v="1988-09-14T00:00:00"/>
        <d v="1984-02-16T00:00:00"/>
        <d v="1984-02-21T00:00:00"/>
        <d v="1966-03-17T00:00:00"/>
        <d v="1985-09-16T00:00:00"/>
        <d v="1986-06-10T00:00:00"/>
        <d v="1984-03-11T00:00:00"/>
        <d v="1992-05-07T00:00:00"/>
        <d v="1976-09-22T00:00:00"/>
        <d v="1976-01-15T00:00:00"/>
        <d v="1991-01-28T00:00:00"/>
        <d v="1972-09-11T00:00:00"/>
        <d v="1966-03-22T00:00:00"/>
        <d v="1986-01-06T00:00:00"/>
        <d v="1964-04-13T00:00:00"/>
        <d v="1959-08-19T00:00:00"/>
        <d v="1986-01-07T00:00:00"/>
        <d v="1969-09-08T00:00:00"/>
        <d v="1986-04-17T00:00:00"/>
        <d v="1989-01-11T00:00:00"/>
        <d v="1976-01-19T00:00:00"/>
        <d v="1979-01-27T00:00:00"/>
        <d v="1954-09-21T00:00:00"/>
        <d v="1973-02-08T00:00:00"/>
        <d v="1970-10-08T00:00:00"/>
        <d v="1977-01-10T00:00:00"/>
        <d v="1980-02-02T00:00:00"/>
        <d v="1969-02-24T00:00:00"/>
        <d v="1986-04-23T00:00:00"/>
        <d v="1972-07-01T00:00:00"/>
        <d v="1979-07-25T00:00:00"/>
        <d v="1986-02-09T00:00:00"/>
        <d v="1984-04-26T00:00:00"/>
        <d v="1984-05-09T00:00:00"/>
        <d v="1987-06-14T00:00:00"/>
        <d v="1979-01-17T00:00:00"/>
        <d v="1984-06-10T00:00:00"/>
        <d v="1982-09-02T00:00:00"/>
        <d v="1988-02-27T00:00:00"/>
        <d v="1981-10-26T00:00:00"/>
        <d v="1981-03-26T00:00:00"/>
        <d v="1979-03-19T00:00:00"/>
        <d v="1988-10-05T00:00:00"/>
        <d v="1976-02-26T00:00:00"/>
        <d v="1982-03-28T00:00:00"/>
        <d v="1975-10-22T00:00:00"/>
        <d v="1973-02-14T00:00:00"/>
        <d v="1972-01-09T00:00:00"/>
        <d v="1986-07-07T00:00:00"/>
        <d v="1976-08-25T00:00:00"/>
        <d v="1986-02-10T00:00:00"/>
        <d v="1974-01-07T00:00:00"/>
        <d v="1987-01-07T00:00:00"/>
        <d v="1977-01-22T00:00:00"/>
        <d v="1987-05-21T00:00:00"/>
        <d v="1984-07-01T00:00:00"/>
        <d v="1968-05-30T00:00:00"/>
        <d v="1981-08-10T00:00:00"/>
        <d v="1985-06-29T00:00:00"/>
        <d v="1992-08-17T00:00:00"/>
        <d v="1986-10-05T00:00:00"/>
        <d v="1970-04-24T00:00:00"/>
        <d v="1976-02-03T00:00:00"/>
        <d v="1979-04-04T00:00:00"/>
        <d v="1984-07-07T00:00:00"/>
        <d v="1974-02-01T00:00:00"/>
        <d v="1980-04-18T00:00:00"/>
        <d v="1970-04-25T00:00:00"/>
        <d v="1989-05-02T00:00:00"/>
        <d v="1983-03-28T00:00:00"/>
        <d v="1977-04-08T00:00:00"/>
        <d v="1967-06-03T00:00:00"/>
        <d v="1989-03-31T00:00:00"/>
        <d v="1985-01-23T00:00:00"/>
        <d v="1980-09-30T00:00:00"/>
        <d v="1952-02-11T00:00:00"/>
        <d v="1990-05-11T00:00:00"/>
        <d v="1976-02-11T00:00:00"/>
        <d v="1979-01-24T00:00:00"/>
        <d v="1982-05-19T00:00:00"/>
        <d v="1979-05-01T00:00:00"/>
        <d v="1979-02-20T00:00:00"/>
        <d v="1984-09-05T00:00:00"/>
        <d v="1988-03-17T00:00:00"/>
        <d v="1989-07-18T00:00:00"/>
        <d v="1986-07-20T00:00:00"/>
        <d v="1986-08-17T00:00:00"/>
        <d v="1977-05-09T00:00:00"/>
        <d v="1979-03-10T00:00:00"/>
        <d v="1984-09-16T00:00:00"/>
        <d v="1988-03-06T00:00:00"/>
        <d v="1981-01-23T00:00:00"/>
        <d v="1988-08-29T00:00:00"/>
        <d v="1984-10-15T00:00:00"/>
        <d v="1961-06-19T00:00:00"/>
        <d v="1970-09-22T00:00:00"/>
        <d v="1984-01-06T00:00:00"/>
        <d v="1980-05-12T00:00:00"/>
        <d v="1984-10-31T00:00:00"/>
        <d v="1954-10-12T00:00:00"/>
        <d v="1982-07-22T00:00:00"/>
        <d v="1973-01-12T00:00:00"/>
        <d v="1981-09-05T00:00:00"/>
        <d v="1972-07-03T00:00:00"/>
        <d v="1985-01-07T00:00:00"/>
        <d v="1985-01-28T00:00:00"/>
        <d v="1981-10-11T00:00:00"/>
        <d v="1973-05-27T00:00:00"/>
        <d v="1972-01-21T00:00:00"/>
        <d v="1974-02-05T00:00:00"/>
        <d v="1987-03-18T00:00:00"/>
        <d v="1973-04-05T00:00:00"/>
        <d v="1964-01-04T00:00:00"/>
        <d v="1986-07-24T00:00:00"/>
        <d v="1968-06-06T00:00:00"/>
        <d v="1986-04-26T00:00:00"/>
        <d v="1987-02-17T00:00:00"/>
        <d v="1988-07-10T00:00:00"/>
        <d v="1975-03-10T00:00:00"/>
        <d v="1981-04-14T00:00:00"/>
        <d v="1985-08-24T00:00:00"/>
        <d v="1970-02-08T00:00:00"/>
        <d v="1988-05-19T00:00:00"/>
        <d v="1987-01-25T00:00:00"/>
        <d v="1963-10-30T00:00:00"/>
        <d v="1984-08-16T00:00:00"/>
        <d v="1965-02-02T00:00:00"/>
        <d v="1973-03-12T00:00:00"/>
        <d v="1983-02-09T00:00:00"/>
        <d v="1968-07-20T00:00:00"/>
        <d v="1975-09-30T00:00:00"/>
        <d v="1973-03-26T00:00:00"/>
        <d v="1982-08-25T00:00:00"/>
        <d v="1974-05-09T00:00:00"/>
        <d v="1986-09-01T00:00:00"/>
        <d v="1985-03-14T00:00:00"/>
        <d v="1989-05-12T00:00:00"/>
        <d v="1978-03-28T00:00:00"/>
        <d v="1982-10-07T00:00:00"/>
        <d v="1968-08-15T00:00:00"/>
        <d v="1983-05-06T00:00:00"/>
        <d v="1987-10-24T00:00:00"/>
        <d v="1975-04-03T00:00:00"/>
        <d v="1953-05-24T00:00:00"/>
        <d v="1965-05-07T00:00:00"/>
        <d v="1965-05-09T00:00:00"/>
        <d v="1975-09-16T00:00:00"/>
        <d v="1967-06-05T00:00:00"/>
        <d v="1968-01-15T00:00:00"/>
        <d v="1983-05-16T00:00:00"/>
        <d v="1988-05-05T00:00:00"/>
        <d v="1983-06-14T00:00:00"/>
        <d v="1985-03-15T00:00:00"/>
        <d v="1969-03-31T00:00:00"/>
        <d v="1991-05-23T00:00:00"/>
        <d v="1987-01-31T00:00:00"/>
        <d v="1968-10-10T00:00:00"/>
        <d v="1989-07-11T00:00:00"/>
        <d v="1986-08-07T00:00:00"/>
        <d v="1986-06-03T00:00:00"/>
        <d v="1985-04-06T00:00:00"/>
        <d v="1976-02-10T00:00:00"/>
        <d v="1955-01-14T00:00:00"/>
        <d v="1980-08-02T00:00:00"/>
        <d v="1981-07-08T00:00:00"/>
        <d v="1978-05-02T00:00:00"/>
        <d v="1987-05-24T00:00:00"/>
        <d v="1983-07-30T00:00:00"/>
        <d v="1969-10-02T00:00:00"/>
        <d v="1958-01-07T00:00:00"/>
        <d v="1985-04-20T00:00:00"/>
        <d v="1985-05-11T00:00:00"/>
        <d v="1982-05-04T00:00:00"/>
        <d v="1979-08-30T00:00:00"/>
        <d v="1979-02-24T00:00:00"/>
        <d v="1978-08-17T00:00:00"/>
      </sharedItems>
      <fieldGroup par="24"/>
    </cacheField>
    <cacheField name="Sex" numFmtId="0">
      <sharedItems count="2">
        <s v="M "/>
        <s v="F"/>
      </sharedItems>
    </cacheField>
    <cacheField name="MaritalDesc" numFmtId="0">
      <sharedItems count="5">
        <s v="Single"/>
        <s v="Married"/>
        <s v="Divorced"/>
        <s v="Widowed"/>
        <s v="Separated"/>
      </sharedItems>
    </cacheField>
    <cacheField name="CitizenDesc" numFmtId="0">
      <sharedItems count="3">
        <s v="US Citizen"/>
        <s v="Eligible NonCitizen"/>
        <s v="Non-Citizen"/>
      </sharedItems>
    </cacheField>
    <cacheField name="RaceDesc" numFmtId="0">
      <sharedItems count="6">
        <s v="White"/>
        <s v="Black or African American"/>
        <s v="Two or more races"/>
        <s v="Asian"/>
        <s v="American Indian or Alaska Native"/>
        <s v="Hispanic"/>
      </sharedItems>
    </cacheField>
    <cacheField name="DateofHire" numFmtId="14">
      <sharedItems containsSemiMixedTypes="0" containsNonDate="0" containsDate="1" containsString="0" minDate="2006-01-09T00:00:00" maxDate="2018-07-10T00:00:00" count="102">
        <d v="2011-07-10T00:00:00"/>
        <d v="2015-03-30T00:00:00"/>
        <d v="2011-07-05T00:00:00"/>
        <d v="2008-01-07T00:00:00"/>
        <d v="2011-07-11T00:00:00"/>
        <d v="2012-01-09T00:00:00"/>
        <d v="2014-01-10T00:00:00"/>
        <d v="2013-09-30T00:00:00"/>
        <d v="2009-07-06T00:00:00"/>
        <d v="2015-01-05T00:00:00"/>
        <d v="2011-01-10T00:00:00"/>
        <d v="2012-04-02T00:00:00"/>
        <d v="2012-02-20T00:00:00"/>
        <d v="2012-09-24T00:00:00"/>
        <d v="2011-02-21T00:00:00"/>
        <d v="2016-07-21T00:00:00"/>
        <d v="2011-04-04T00:00:00"/>
        <d v="2014-07-07T00:00:00"/>
        <d v="2013-07-08T00:00:00"/>
        <d v="2013-08-19T00:00:00"/>
        <d v="2014-02-17T00:00:00"/>
        <d v="2015-02-16T00:00:00"/>
        <d v="2008-10-27T00:00:00"/>
        <d v="2014-09-29T00:00:00"/>
        <d v="2013-01-11T00:00:00"/>
        <d v="2011-08-15T00:00:00"/>
        <d v="2012-03-05T00:00:00"/>
        <d v="2016-01-28T00:00:00"/>
        <d v="2014-03-31T00:00:00"/>
        <d v="2016-06-30T00:00:00"/>
        <d v="2014-08-18T00:00:00"/>
        <d v="2016-09-06T00:00:00"/>
        <d v="2014-05-12T00:00:00"/>
        <d v="2012-05-14T00:00:00"/>
        <d v="2011-06-27T00:00:00"/>
        <d v="2011-10-03T00:00:00"/>
        <d v="2012-09-05T00:00:00"/>
        <d v="2011-05-16T00:00:00"/>
        <d v="2010-08-30T00:00:00"/>
        <d v="2016-07-06T00:00:00"/>
        <d v="2010-07-20T00:00:00"/>
        <d v="2009-01-05T00:00:00"/>
        <d v="2014-05-05T00:00:00"/>
        <d v="2012-07-02T00:00:00"/>
        <d v="2011-01-07T00:00:00"/>
        <d v="2018-07-09T00:00:00"/>
        <d v="2017-02-15T00:00:00"/>
        <d v="2013-01-07T00:00:00"/>
        <d v="2014-01-05T00:00:00"/>
        <d v="2014-09-18T00:00:00"/>
        <d v="2010-04-26T00:00:00"/>
        <d v="2011-05-02T00:00:00"/>
        <d v="2015-05-11T00:00:00"/>
        <d v="2011-04-15T00:00:00"/>
        <d v="2011-09-06T00:00:00"/>
        <d v="2010-05-01T00:00:00"/>
        <d v="2015-06-02T00:00:00"/>
        <d v="2017-04-20T00:00:00"/>
        <d v="2012-03-07T00:00:00"/>
        <d v="2011-01-28T00:00:00"/>
        <d v="2012-08-13T00:00:00"/>
        <d v="2016-06-06T00:00:00"/>
        <d v="2015-06-05T00:00:00"/>
        <d v="2012-01-05T00:00:00"/>
        <d v="2014-01-06T00:00:00"/>
        <d v="2011-09-26T00:00:00"/>
        <d v="2011-03-07T00:00:00"/>
        <d v="2012-07-09T00:00:00"/>
        <d v="2016-10-02T00:00:00"/>
        <d v="2016-01-05T00:00:00"/>
        <d v="2012-04-30T00:00:00"/>
        <d v="2011-01-21T00:00:00"/>
        <d v="2016-05-11T00:00:00"/>
        <d v="2011-05-31T00:00:00"/>
        <d v="2012-08-16T00:00:00"/>
        <d v="2012-02-15T00:00:00"/>
        <d v="2013-05-13T00:00:00"/>
        <d v="2013-04-01T00:00:00"/>
        <d v="2017-02-10T00:00:00"/>
        <d v="2011-02-07T00:00:00"/>
        <d v="2014-02-01T00:00:00"/>
        <d v="2010-10-25T00:00:00"/>
        <d v="2007-01-05T00:00:00"/>
        <d v="2017-01-07T00:00:00"/>
        <d v="2013-01-20T00:00:00"/>
        <d v="2016-07-04T00:00:00"/>
        <d v="2014-09-30T00:00:00"/>
        <d v="2015-05-01T00:00:00"/>
        <d v="2009-10-26T00:00:00"/>
        <d v="2014-05-18T00:00:00"/>
        <d v="2011-06-10T00:00:00"/>
        <d v="2012-10-02T00:00:00"/>
        <d v="2010-09-27T00:00:00"/>
        <d v="2009-01-08T00:00:00"/>
        <d v="2009-04-27T00:00:00"/>
        <d v="2007-06-25T00:00:00"/>
        <d v="2013-02-18T00:00:00"/>
        <d v="2006-01-09T00:00:00"/>
        <d v="2011-08-01T00:00:00"/>
        <d v="2015-07-05T00:00:00"/>
        <d v="2008-09-02T00:00:00"/>
        <d v="2010-04-10T00:00:00"/>
      </sharedItems>
      <fieldGroup par="30"/>
    </cacheField>
    <cacheField name="DateofTermination" numFmtId="14">
      <sharedItems containsDate="1" containsMixedTypes="1" minDate="2010-08-30T00:00:00" maxDate="2018-11-11T00:00:00" count="97">
        <s v=""/>
        <d v="2016-06-16T00:00:00"/>
        <d v="2012-09-24T00:00:00"/>
        <d v="2016-09-06T00:00:00"/>
        <d v="2017-01-12T00:00:00"/>
        <d v="2016-09-19T00:00:00"/>
        <d v="2017-04-06T00:00:00"/>
        <d v="2017-08-04T00:00:00"/>
        <d v="2015-09-12T00:00:00"/>
        <d v="2014-04-04T00:00:00"/>
        <d v="2016-02-19T00:00:00"/>
        <d v="2014-08-07T00:00:00"/>
        <d v="2013-06-15T00:00:00"/>
        <d v="2014-08-02T00:00:00"/>
        <d v="2015-11-15T00:00:00"/>
        <d v="2013-01-07T00:00:00"/>
        <d v="2011-09-26T00:00:00"/>
        <d v="2016-09-23T00:00:00"/>
        <d v="2016-06-08T00:00:00"/>
        <d v="2015-11-04T00:00:00"/>
        <d v="2017-06-06T00:00:00"/>
        <d v="2018-09-27T00:00:00"/>
        <d v="2018-02-25T00:00:00"/>
        <d v="2013-06-05T00:00:00"/>
        <d v="2016-05-17T00:00:00"/>
        <d v="2013-06-24T00:00:00"/>
        <d v="2013-01-09T00:00:00"/>
        <d v="2018-08-19T00:00:00"/>
        <d v="2016-11-15T00:00:00"/>
        <d v="2015-09-05T00:00:00"/>
        <d v="2015-06-25T00:00:00"/>
        <d v="2015-03-15T00:00:00"/>
        <d v="2011-05-30T00:00:00"/>
        <d v="2014-01-11T00:00:00"/>
        <d v="2014-10-31T00:00:00"/>
        <d v="2015-12-15T00:00:00"/>
        <d v="2013-06-18T00:00:00"/>
        <d v="2012-04-07T00:00:00"/>
        <d v="2015-04-15T00:00:00"/>
        <d v="2013-04-01T00:00:00"/>
        <d v="2018-04-29T00:00:00"/>
        <d v="2016-04-01T00:00:00"/>
        <d v="2014-04-24T00:00:00"/>
        <d v="2015-06-04T00:00:00"/>
        <d v="2014-01-09T00:00:00"/>
        <d v="2015-12-12T00:00:00"/>
        <d v="2014-03-31T00:00:00"/>
        <d v="2013-04-15T00:00:00"/>
        <d v="2018-09-26T00:00:00"/>
        <d v="2016-09-15T00:00:00"/>
        <d v="2015-11-14T00:00:00"/>
        <d v="2017-09-26T00:00:00"/>
        <d v="2012-08-19T00:00:00"/>
        <d v="2016-11-11T00:00:00"/>
        <d v="2014-09-04T00:00:00"/>
        <d v="2016-05-25T00:00:00"/>
        <d v="2018-05-01T00:00:00"/>
        <d v="2013-08-19T00:00:00"/>
        <d v="2014-01-12T00:00:00"/>
        <d v="2015-09-07T00:00:00"/>
        <d v="2016-05-01T00:00:00"/>
        <d v="2017-12-28T00:00:00"/>
        <d v="2015-09-15T00:00:00"/>
        <d v="2015-10-25T00:00:00"/>
        <d v="2013-02-04T00:00:00"/>
        <d v="2016-05-18T00:00:00"/>
        <d v="2012-11-30T00:00:00"/>
        <d v="2018-06-04T00:00:00"/>
        <d v="2015-08-15T00:00:00"/>
        <d v="2018-04-07T00:00:00"/>
        <d v="2016-01-15T00:00:00"/>
        <d v="2011-10-22T00:00:00"/>
        <d v="2012-02-08T00:00:00"/>
        <d v="2016-01-26T00:00:00"/>
        <d v="2018-11-10T00:00:00"/>
        <d v="2018-08-13T00:00:00"/>
        <d v="2018-07-30T00:00:00"/>
        <d v="2015-10-31T00:00:00"/>
        <d v="2015-04-08T00:00:00"/>
        <d v="2013-09-25T00:00:00"/>
        <d v="2015-06-29T00:00:00"/>
        <d v="2017-07-08T00:00:00"/>
        <d v="2016-09-05T00:00:00"/>
        <d v="2010-08-30T00:00:00"/>
        <d v="2016-02-12T00:00:00"/>
        <d v="2018-04-15T00:00:00"/>
        <d v="2014-07-02T00:00:00"/>
        <d v="2016-02-05T00:00:00"/>
        <d v="2017-02-22T00:00:00"/>
        <d v="2016-02-08T00:00:00"/>
        <d v="2012-01-02T00:00:00"/>
        <d v="2015-09-01T00:00:00"/>
        <d v="2014-05-15T00:00:00"/>
        <d v="2012-05-14T00:00:00"/>
        <d v="2015-06-27T00:00:00"/>
        <d v="2016-02-21T00:00:00"/>
        <d v="2015-09-29T00:00:00"/>
      </sharedItems>
    </cacheField>
    <cacheField name="TermReason" numFmtId="0">
      <sharedItems count="18"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 count="3">
        <s v="Active"/>
        <s v="Voluntarily Terminated"/>
        <s v="Terminated for Cause"/>
      </sharedItems>
    </cacheField>
    <cacheField name="Department" numFmtId="0">
      <sharedItems/>
    </cacheField>
    <cacheField name="ManagerName" numFmtId="0">
      <sharedItems count="21"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 count="9"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</sharedItems>
    </cacheField>
    <cacheField name="PerformanceScore" numFmtId="0">
      <sharedItems count="4">
        <s v="Exceeds"/>
        <s v="Fully Meets"/>
        <s v="Needs Improvement"/>
        <s v="PIP"/>
      </sharedItems>
    </cacheField>
    <cacheField name="EngagementSurvey" numFmtId="0">
      <sharedItems containsSemiMixedTypes="0" containsString="0" containsNumber="1" minValue="1.1200000000000001" maxValue="5"/>
    </cacheField>
    <cacheField name="EmpSatisfaction" numFmtId="0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  <cacheField name="EmpSatisfactionPoor" numFmtId="0">
      <sharedItems/>
    </cacheField>
    <cacheField name="LastPerformanceReview_Date" numFmtId="14">
      <sharedItems containsSemiMixedTypes="0" containsNonDate="0" containsDate="1" containsString="0" minDate="2010-07-14T00:00:00" maxDate="2019-03-01T00:00:00" count="137">
        <d v="2019-01-17T00:00:00"/>
        <d v="2016-02-24T00:00:00"/>
        <d v="2012-05-15T00:00:00"/>
        <d v="2019-01-03T00:00:00"/>
        <d v="2016-02-01T00:00:00"/>
        <d v="2019-01-07T00:00:00"/>
        <d v="2019-01-02T00:00:00"/>
        <d v="2019-02-25T00:00:00"/>
        <d v="2019-01-25T00:00:00"/>
        <d v="2019-02-18T00:00:00"/>
        <d v="2016-01-30T00:00:00"/>
        <d v="2016-05-06T00:00:00"/>
        <d v="2019-02-14T00:00:00"/>
        <d v="2017-03-02T00:00:00"/>
        <d v="2017-04-05T00:00:00"/>
        <d v="2019-01-14T00:00:00"/>
        <d v="2015-01-15T00:00:00"/>
        <d v="2019-01-11T00:00:00"/>
        <d v="2019-01-10T00:00:00"/>
        <d v="2019-02-27T00:00:00"/>
        <d v="2014-03-04T00:00:00"/>
        <d v="2016-01-10T00:00:00"/>
        <d v="2014-02-20T00:00:00"/>
        <d v="2013-03-04T00:00:00"/>
        <d v="2019-01-15T00:00:00"/>
        <d v="2019-02-01T00:00:00"/>
        <d v="2019-01-21T00:00:00"/>
        <d v="2013-02-10T00:00:00"/>
        <d v="2019-02-21T00:00:00"/>
        <d v="2019-02-22T00:00:00"/>
        <d v="2019-01-30T00:00:00"/>
        <d v="2019-02-12T00:00:00"/>
        <d v="2019-02-19T00:00:00"/>
        <d v="2019-01-19T00:00:00"/>
        <d v="2015-03-10T00:00:00"/>
        <d v="2012-05-03T00:00:00"/>
        <d v="2011-05-04T00:00:00"/>
        <d v="2019-02-28T00:00:00"/>
        <d v="2016-05-01T00:00:00"/>
        <d v="2019-02-04T00:00:00"/>
        <d v="2019-01-22T00:00:00"/>
        <d v="2019-01-28T00:00:00"/>
        <d v="2019-01-24T00:00:00"/>
        <d v="2019-01-31T00:00:00"/>
        <d v="2016-04-02T00:00:00"/>
        <d v="2015-05-06T00:00:00"/>
        <d v="2019-01-23T00:00:00"/>
        <d v="2019-01-29T00:00:00"/>
        <d v="2019-01-18T00:00:00"/>
        <d v="2019-01-04T00:00:00"/>
        <d v="2019-01-27T00:00:00"/>
        <d v="2017-04-09T00:00:00"/>
        <d v="2019-02-13T00:00:00"/>
        <d v="2018-04-12T00:00:00"/>
        <d v="2017-01-15T00:00:00"/>
        <d v="2012-08-10T00:00:00"/>
        <d v="2016-02-04T00:00:00"/>
        <d v="2013-04-05T00:00:00"/>
        <d v="2012-01-07T00:00:00"/>
        <d v="2019-02-08T00:00:00"/>
        <d v="2019-02-26T00:00:00"/>
        <d v="2019-01-16T00:00:00"/>
        <d v="2016-04-29T00:00:00"/>
        <d v="2014-01-15T00:00:00"/>
        <d v="2015-01-20T00:00:00"/>
        <d v="2019-02-07T00:00:00"/>
        <d v="2011-03-06T00:00:00"/>
        <d v="2019-02-15T00:00:00"/>
        <d v="2013-06-03T00:00:00"/>
        <d v="2013-02-01T00:00:00"/>
        <d v="2019-01-08T00:00:00"/>
        <d v="2015-05-02T00:00:00"/>
        <d v="2019-02-11T00:00:00"/>
        <d v="2013-01-30T00:00:00"/>
        <d v="2012-03-05T00:00:00"/>
        <d v="2015-04-15T00:00:00"/>
        <d v="2012-04-12T00:00:00"/>
        <d v="2018-02-14T00:00:00"/>
        <d v="2016-02-03T00:00:00"/>
        <d v="2013-03-30T00:00:00"/>
        <d v="2015-03-01T00:00:00"/>
        <d v="2019-02-06T00:00:00"/>
        <d v="2015-02-15T00:00:00"/>
        <d v="2013-02-20T00:00:00"/>
        <d v="2017-07-02T00:00:00"/>
        <d v="2018-03-02T00:00:00"/>
        <d v="2016-06-10T00:00:00"/>
        <d v="2015-02-02T00:00:00"/>
        <d v="2017-04-01T00:00:00"/>
        <d v="2012-07-02T00:00:00"/>
        <d v="2016-02-05T00:00:00"/>
        <d v="2013-01-14T00:00:00"/>
        <d v="2013-03-02T00:00:00"/>
        <d v="2016-03-06T00:00:00"/>
        <d v="2018-03-09T00:00:00"/>
        <d v="2013-07-02T00:00:00"/>
        <d v="2015-08-16T00:00:00"/>
        <d v="2016-01-16T00:00:00"/>
        <d v="2017-04-06T00:00:00"/>
        <d v="2015-02-06T00:00:00"/>
        <d v="2014-05-13T00:00:00"/>
        <d v="2013-01-10T00:00:00"/>
        <d v="2015-03-05T00:00:00"/>
        <d v="2012-02-20T00:00:00"/>
        <d v="2018-04-02T00:00:00"/>
        <d v="2013-04-02T00:00:00"/>
        <d v="2014-04-19T00:00:00"/>
        <d v="2018-02-04T00:00:00"/>
        <d v="2015-03-30T00:00:00"/>
        <d v="2011-10-22T00:00:00"/>
        <d v="2012-01-06T00:00:00"/>
        <d v="2015-01-10T00:00:00"/>
        <d v="2016-04-05T00:00:00"/>
        <d v="2018-02-13T00:00:00"/>
        <d v="2018-07-02T00:00:00"/>
        <d v="2015-01-04T00:00:00"/>
        <d v="2018-02-05T00:00:00"/>
        <d v="2015-04-20T00:00:00"/>
        <d v="2015-04-02T00:00:00"/>
        <d v="2013-08-15T00:00:00"/>
        <d v="2015-03-02T00:00:00"/>
        <d v="2012-02-15T00:00:00"/>
        <d v="2017-04-18T00:00:00"/>
        <d v="2016-03-02T00:00:00"/>
        <d v="2010-07-14T00:00:00"/>
        <d v="2017-02-12T00:00:00"/>
        <d v="2014-01-05T00:00:00"/>
        <d v="2017-02-15T00:00:00"/>
        <d v="2015-02-01T00:00:00"/>
        <d v="2012-01-02T00:00:00"/>
        <d v="2014-09-05T00:00:00"/>
        <d v="2019-02-05T00:00:00"/>
        <d v="2014-05-15T00:00:00"/>
        <d v="2011-02-06T00:00:00"/>
        <d v="2014-06-02T00:00:00"/>
        <d v="2016-01-19T00:00:00"/>
        <d v="2015-09-02T00:00:00"/>
      </sharedItems>
      <fieldGroup par="27"/>
    </cacheField>
    <cacheField name="Absences" numFmtId="0">
      <sharedItems containsSemiMixedTypes="0" containsString="0" containsNumber="1" containsInteger="1" minValue="1" maxValue="20"/>
    </cacheField>
    <cacheField name="Months (DOB)" numFmtId="0" databaseField="0">
      <fieldGroup base="3">
        <rangePr groupBy="months" startDate="1951-01-02T00:00:00" endDate="1992-08-18T00:00:00"/>
        <groupItems count="14">
          <s v="&lt;02/01/195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/08/1992"/>
        </groupItems>
      </fieldGroup>
    </cacheField>
    <cacheField name="Quarters (DOB)" numFmtId="0" databaseField="0">
      <fieldGroup base="3">
        <rangePr groupBy="quarters" startDate="1951-01-02T00:00:00" endDate="1992-08-18T00:00:00"/>
        <groupItems count="6">
          <s v="&lt;02/01/1951"/>
          <s v="Qtr1"/>
          <s v="Qtr2"/>
          <s v="Qtr3"/>
          <s v="Qtr4"/>
          <s v="&gt;18/08/1992"/>
        </groupItems>
      </fieldGroup>
    </cacheField>
    <cacheField name="Years (DOB)" numFmtId="0" databaseField="0">
      <fieldGroup base="3">
        <rangePr groupBy="years" startDate="1951-01-02T00:00:00" endDate="1992-08-18T00:00:00"/>
        <groupItems count="44">
          <s v="&lt;02/01/1951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&gt;18/08/1992"/>
        </groupItems>
      </fieldGroup>
    </cacheField>
    <cacheField name="Months (LastPerformanceReview_Date)" numFmtId="0" databaseField="0">
      <fieldGroup base="20">
        <rangePr groupBy="months" startDate="2010-07-14T00:00:00" endDate="2019-03-01T00:00:00"/>
        <groupItems count="14">
          <s v="&lt;14/07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19"/>
        </groupItems>
      </fieldGroup>
    </cacheField>
    <cacheField name="Quarters (LastPerformanceReview_Date)" numFmtId="0" databaseField="0">
      <fieldGroup base="20">
        <rangePr groupBy="quarters" startDate="2010-07-14T00:00:00" endDate="2019-03-01T00:00:00"/>
        <groupItems count="6">
          <s v="&lt;14/07/2010"/>
          <s v="Qtr1"/>
          <s v="Qtr2"/>
          <s v="Qtr3"/>
          <s v="Qtr4"/>
          <s v="&gt;01/03/2019"/>
        </groupItems>
      </fieldGroup>
    </cacheField>
    <cacheField name="Years (LastPerformanceReview_Date)" numFmtId="0" databaseField="0">
      <fieldGroup base="20">
        <rangePr groupBy="years" startDate="2010-07-14T00:00:00" endDate="2019-03-01T00:00:00"/>
        <groupItems count="12">
          <s v="&lt;14/07/2010"/>
          <s v="2010"/>
          <s v="2011"/>
          <s v="2012"/>
          <s v="2013"/>
          <s v="2014"/>
          <s v="2015"/>
          <s v="2016"/>
          <s v="2017"/>
          <s v="2018"/>
          <s v="2019"/>
          <s v="&gt;01/03/2019"/>
        </groupItems>
      </fieldGroup>
    </cacheField>
    <cacheField name="Months (DateofHire)" numFmtId="0" databaseField="0">
      <fieldGroup base="8">
        <rangePr groupBy="months" startDate="2006-01-09T00:00:00" endDate="2018-07-10T00:00:00"/>
        <groupItems count="14">
          <s v="&lt;09/01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07/2018"/>
        </groupItems>
      </fieldGroup>
    </cacheField>
    <cacheField name="Quarters (DateofHire)" numFmtId="0" databaseField="0">
      <fieldGroup base="8">
        <rangePr groupBy="quarters" startDate="2006-01-09T00:00:00" endDate="2018-07-10T00:00:00"/>
        <groupItems count="6">
          <s v="&lt;09/01/2006"/>
          <s v="Qtr1"/>
          <s v="Qtr2"/>
          <s v="Qtr3"/>
          <s v="Qtr4"/>
          <s v="&gt;10/07/2018"/>
        </groupItems>
      </fieldGroup>
    </cacheField>
    <cacheField name="Years (DateofHire)" numFmtId="0" databaseField="0">
      <fieldGroup base="8">
        <rangePr groupBy="years" startDate="2006-01-09T00:00:00" endDate="2018-07-10T00:00:00"/>
        <groupItems count="15">
          <s v="&lt;09/01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10/07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Adinolfi, Wilson  K"/>
    <n v="10026"/>
    <x v="0"/>
    <x v="0"/>
    <x v="0"/>
    <x v="0"/>
    <x v="0"/>
    <x v="0"/>
    <x v="0"/>
    <x v="0"/>
    <x v="0"/>
    <x v="0"/>
    <s v="Production       "/>
    <x v="0"/>
    <n v="22"/>
    <x v="0"/>
    <x v="0"/>
    <n v="4.5999999999999996"/>
    <x v="0"/>
    <s v="Very Good"/>
    <x v="0"/>
    <n v="1"/>
  </r>
  <r>
    <s v="Ait Sidi, Karthikeyan   "/>
    <n v="10084"/>
    <x v="1"/>
    <x v="1"/>
    <x v="0"/>
    <x v="1"/>
    <x v="0"/>
    <x v="0"/>
    <x v="1"/>
    <x v="1"/>
    <x v="1"/>
    <x v="1"/>
    <s v="IT/IS"/>
    <x v="1"/>
    <n v="4"/>
    <x v="1"/>
    <x v="1"/>
    <n v="4.96"/>
    <x v="1"/>
    <s v="Fair"/>
    <x v="1"/>
    <n v="17"/>
  </r>
  <r>
    <s v="Akinkuolie, Sarah"/>
    <n v="10196"/>
    <x v="2"/>
    <x v="2"/>
    <x v="1"/>
    <x v="1"/>
    <x v="0"/>
    <x v="0"/>
    <x v="2"/>
    <x v="2"/>
    <x v="2"/>
    <x v="1"/>
    <s v="Production       "/>
    <x v="2"/>
    <n v="20"/>
    <x v="0"/>
    <x v="1"/>
    <n v="3.02"/>
    <x v="1"/>
    <s v="Fair"/>
    <x v="2"/>
    <n v="3"/>
  </r>
  <r>
    <s v="Alagbe,Trina"/>
    <n v="10088"/>
    <x v="0"/>
    <x v="3"/>
    <x v="1"/>
    <x v="1"/>
    <x v="0"/>
    <x v="0"/>
    <x v="3"/>
    <x v="0"/>
    <x v="0"/>
    <x v="0"/>
    <s v="Production       "/>
    <x v="3"/>
    <n v="16"/>
    <x v="1"/>
    <x v="1"/>
    <n v="4.84"/>
    <x v="0"/>
    <s v="Very Good"/>
    <x v="3"/>
    <n v="15"/>
  </r>
  <r>
    <s v="Anderson, Carol "/>
    <n v="10069"/>
    <x v="0"/>
    <x v="4"/>
    <x v="1"/>
    <x v="2"/>
    <x v="0"/>
    <x v="0"/>
    <x v="4"/>
    <x v="3"/>
    <x v="3"/>
    <x v="1"/>
    <s v="Production       "/>
    <x v="4"/>
    <n v="39"/>
    <x v="2"/>
    <x v="1"/>
    <n v="5"/>
    <x v="2"/>
    <s v="Good"/>
    <x v="4"/>
    <n v="2"/>
  </r>
  <r>
    <s v="Anderson, Linda  "/>
    <n v="10002"/>
    <x v="0"/>
    <x v="5"/>
    <x v="1"/>
    <x v="0"/>
    <x v="0"/>
    <x v="0"/>
    <x v="5"/>
    <x v="0"/>
    <x v="0"/>
    <x v="0"/>
    <s v="Production       "/>
    <x v="5"/>
    <n v="11"/>
    <x v="0"/>
    <x v="0"/>
    <n v="5"/>
    <x v="0"/>
    <s v="Very Good"/>
    <x v="5"/>
    <n v="15"/>
  </r>
  <r>
    <s v="Andreola, Colby"/>
    <n v="10194"/>
    <x v="3"/>
    <x v="6"/>
    <x v="1"/>
    <x v="0"/>
    <x v="0"/>
    <x v="0"/>
    <x v="6"/>
    <x v="0"/>
    <x v="0"/>
    <x v="0"/>
    <s v="Software Engineering"/>
    <x v="6"/>
    <n v="10"/>
    <x v="0"/>
    <x v="1"/>
    <n v="3.04"/>
    <x v="1"/>
    <s v="Fair"/>
    <x v="6"/>
    <n v="19"/>
  </r>
  <r>
    <s v="Athwal, Sam"/>
    <n v="10062"/>
    <x v="0"/>
    <x v="7"/>
    <x v="0"/>
    <x v="3"/>
    <x v="0"/>
    <x v="0"/>
    <x v="7"/>
    <x v="0"/>
    <x v="0"/>
    <x v="0"/>
    <s v="Production       "/>
    <x v="7"/>
    <n v="19"/>
    <x v="3"/>
    <x v="1"/>
    <n v="5"/>
    <x v="2"/>
    <s v="Good"/>
    <x v="7"/>
    <n v="19"/>
  </r>
  <r>
    <s v="Bachiochi, Linda"/>
    <n v="10114"/>
    <x v="0"/>
    <x v="8"/>
    <x v="1"/>
    <x v="0"/>
    <x v="0"/>
    <x v="1"/>
    <x v="8"/>
    <x v="0"/>
    <x v="0"/>
    <x v="0"/>
    <s v="Production       "/>
    <x v="8"/>
    <n v="12"/>
    <x v="4"/>
    <x v="1"/>
    <n v="4.46"/>
    <x v="1"/>
    <s v="Fair"/>
    <x v="8"/>
    <n v="4"/>
  </r>
  <r>
    <s v="Bacong, Alejandro "/>
    <n v="10250"/>
    <x v="4"/>
    <x v="9"/>
    <x v="0"/>
    <x v="2"/>
    <x v="0"/>
    <x v="0"/>
    <x v="9"/>
    <x v="0"/>
    <x v="0"/>
    <x v="0"/>
    <s v="IT/IS"/>
    <x v="9"/>
    <n v="7"/>
    <x v="1"/>
    <x v="1"/>
    <n v="5"/>
    <x v="0"/>
    <s v="Very Good"/>
    <x v="9"/>
    <n v="16"/>
  </r>
  <r>
    <s v="Baczenski, Rachael  "/>
    <n v="10252"/>
    <x v="0"/>
    <x v="10"/>
    <x v="1"/>
    <x v="1"/>
    <x v="0"/>
    <x v="1"/>
    <x v="10"/>
    <x v="4"/>
    <x v="4"/>
    <x v="1"/>
    <s v="Production       "/>
    <x v="10"/>
    <n v="14"/>
    <x v="4"/>
    <x v="1"/>
    <n v="4.2"/>
    <x v="2"/>
    <s v="Good"/>
    <x v="10"/>
    <n v="12"/>
  </r>
  <r>
    <s v="Barbara, Thomas"/>
    <n v="10242"/>
    <x v="0"/>
    <x v="11"/>
    <x v="0"/>
    <x v="1"/>
    <x v="0"/>
    <x v="1"/>
    <x v="11"/>
    <x v="5"/>
    <x v="5"/>
    <x v="1"/>
    <s v="Production       "/>
    <x v="2"/>
    <n v="20"/>
    <x v="4"/>
    <x v="1"/>
    <n v="4.2"/>
    <x v="1"/>
    <s v="Fair"/>
    <x v="11"/>
    <n v="15"/>
  </r>
  <r>
    <s v="Barbossa, Hector"/>
    <n v="10012"/>
    <x v="5"/>
    <x v="12"/>
    <x v="0"/>
    <x v="2"/>
    <x v="0"/>
    <x v="1"/>
    <x v="6"/>
    <x v="0"/>
    <x v="0"/>
    <x v="0"/>
    <s v="IT/IS"/>
    <x v="1"/>
    <n v="4"/>
    <x v="4"/>
    <x v="0"/>
    <n v="4.28"/>
    <x v="2"/>
    <s v="Good"/>
    <x v="7"/>
    <n v="9"/>
  </r>
  <r>
    <s v="Barone, Francesco  A"/>
    <n v="10265"/>
    <x v="0"/>
    <x v="13"/>
    <x v="0"/>
    <x v="0"/>
    <x v="0"/>
    <x v="2"/>
    <x v="12"/>
    <x v="0"/>
    <x v="0"/>
    <x v="0"/>
    <s v="Production       "/>
    <x v="11"/>
    <n v="18"/>
    <x v="2"/>
    <x v="1"/>
    <n v="4.5999999999999996"/>
    <x v="2"/>
    <s v="Good"/>
    <x v="12"/>
    <n v="7"/>
  </r>
  <r>
    <s v="Barton, Nader"/>
    <n v="10066"/>
    <x v="0"/>
    <x v="14"/>
    <x v="0"/>
    <x v="2"/>
    <x v="0"/>
    <x v="0"/>
    <x v="13"/>
    <x v="6"/>
    <x v="4"/>
    <x v="1"/>
    <s v="Production       "/>
    <x v="0"/>
    <n v="22"/>
    <x v="5"/>
    <x v="1"/>
    <n v="5"/>
    <x v="0"/>
    <s v="Very Good"/>
    <x v="13"/>
    <n v="1"/>
  </r>
  <r>
    <s v="Bates, Norman"/>
    <n v="10061"/>
    <x v="0"/>
    <x v="15"/>
    <x v="0"/>
    <x v="0"/>
    <x v="0"/>
    <x v="0"/>
    <x v="14"/>
    <x v="7"/>
    <x v="6"/>
    <x v="2"/>
    <s v="Production       "/>
    <x v="11"/>
    <n v="18"/>
    <x v="2"/>
    <x v="1"/>
    <n v="5"/>
    <x v="2"/>
    <s v="Good"/>
    <x v="14"/>
    <n v="20"/>
  </r>
  <r>
    <s v="Beak, Kimberly  "/>
    <n v="10023"/>
    <x v="2"/>
    <x v="16"/>
    <x v="1"/>
    <x v="1"/>
    <x v="0"/>
    <x v="0"/>
    <x v="15"/>
    <x v="0"/>
    <x v="0"/>
    <x v="0"/>
    <s v="Production       "/>
    <x v="11"/>
    <n v="18"/>
    <x v="3"/>
    <x v="0"/>
    <n v="4.4000000000000004"/>
    <x v="1"/>
    <s v="Fair"/>
    <x v="15"/>
    <n v="16"/>
  </r>
  <r>
    <s v="Beatrice, Courtney "/>
    <n v="10055"/>
    <x v="0"/>
    <x v="17"/>
    <x v="1"/>
    <x v="0"/>
    <x v="1"/>
    <x v="0"/>
    <x v="16"/>
    <x v="0"/>
    <x v="0"/>
    <x v="0"/>
    <s v="Production       "/>
    <x v="3"/>
    <n v="16"/>
    <x v="2"/>
    <x v="1"/>
    <n v="5"/>
    <x v="0"/>
    <s v="Very Good"/>
    <x v="15"/>
    <n v="12"/>
  </r>
  <r>
    <s v="Becker, Renee"/>
    <n v="10245"/>
    <x v="6"/>
    <x v="18"/>
    <x v="1"/>
    <x v="0"/>
    <x v="0"/>
    <x v="0"/>
    <x v="17"/>
    <x v="8"/>
    <x v="7"/>
    <x v="2"/>
    <s v="IT/IS"/>
    <x v="1"/>
    <n v="4"/>
    <x v="2"/>
    <x v="1"/>
    <n v="4.5"/>
    <x v="2"/>
    <s v="Good"/>
    <x v="16"/>
    <n v="8"/>
  </r>
  <r>
    <s v="Becker, Scott"/>
    <n v="10277"/>
    <x v="0"/>
    <x v="19"/>
    <x v="0"/>
    <x v="0"/>
    <x v="0"/>
    <x v="3"/>
    <x v="18"/>
    <x v="0"/>
    <x v="0"/>
    <x v="0"/>
    <s v="Production       "/>
    <x v="4"/>
    <m/>
    <x v="0"/>
    <x v="1"/>
    <n v="4.2"/>
    <x v="2"/>
    <s v="Good"/>
    <x v="17"/>
    <n v="13"/>
  </r>
  <r>
    <s v="Bernstein, Sean"/>
    <n v="10046"/>
    <x v="0"/>
    <x v="20"/>
    <x v="0"/>
    <x v="0"/>
    <x v="0"/>
    <x v="0"/>
    <x v="11"/>
    <x v="0"/>
    <x v="0"/>
    <x v="0"/>
    <s v="Production       "/>
    <x v="5"/>
    <n v="11"/>
    <x v="2"/>
    <x v="1"/>
    <n v="5"/>
    <x v="1"/>
    <s v="Fair"/>
    <x v="15"/>
    <n v="13"/>
  </r>
  <r>
    <s v="Biden, Lowan  M"/>
    <n v="10226"/>
    <x v="0"/>
    <x v="21"/>
    <x v="1"/>
    <x v="2"/>
    <x v="0"/>
    <x v="3"/>
    <x v="19"/>
    <x v="0"/>
    <x v="0"/>
    <x v="0"/>
    <s v="Production       "/>
    <x v="7"/>
    <n v="19"/>
    <x v="1"/>
    <x v="1"/>
    <n v="4.2"/>
    <x v="1"/>
    <s v="Fair"/>
    <x v="18"/>
    <n v="2"/>
  </r>
  <r>
    <s v="Billis, Helen"/>
    <n v="10003"/>
    <x v="0"/>
    <x v="22"/>
    <x v="1"/>
    <x v="1"/>
    <x v="0"/>
    <x v="0"/>
    <x v="17"/>
    <x v="0"/>
    <x v="0"/>
    <x v="0"/>
    <s v="Production       "/>
    <x v="8"/>
    <n v="12"/>
    <x v="1"/>
    <x v="0"/>
    <n v="5"/>
    <x v="1"/>
    <s v="Fair"/>
    <x v="19"/>
    <n v="19"/>
  </r>
  <r>
    <s v="Blount, Dianna"/>
    <n v="10294"/>
    <x v="2"/>
    <x v="23"/>
    <x v="1"/>
    <x v="0"/>
    <x v="0"/>
    <x v="0"/>
    <x v="16"/>
    <x v="0"/>
    <x v="0"/>
    <x v="0"/>
    <s v="Production       "/>
    <x v="0"/>
    <n v="22"/>
    <x v="6"/>
    <x v="2"/>
    <n v="2"/>
    <x v="1"/>
    <s v="Fair"/>
    <x v="19"/>
    <n v="3"/>
  </r>
  <r>
    <s v="Bondwell, Betsy"/>
    <n v="10267"/>
    <x v="2"/>
    <x v="24"/>
    <x v="1"/>
    <x v="0"/>
    <x v="0"/>
    <x v="0"/>
    <x v="10"/>
    <x v="9"/>
    <x v="1"/>
    <x v="1"/>
    <s v="Production       "/>
    <x v="3"/>
    <n v="16"/>
    <x v="2"/>
    <x v="1"/>
    <n v="4.8"/>
    <x v="0"/>
    <s v="Very Good"/>
    <x v="20"/>
    <n v="5"/>
  </r>
  <r>
    <s v="Booth, Frank"/>
    <n v="10199"/>
    <x v="7"/>
    <x v="25"/>
    <x v="0"/>
    <x v="0"/>
    <x v="0"/>
    <x v="1"/>
    <x v="20"/>
    <x v="10"/>
    <x v="8"/>
    <x v="2"/>
    <s v="IT/IS"/>
    <x v="1"/>
    <n v="4"/>
    <x v="0"/>
    <x v="1"/>
    <n v="3.5"/>
    <x v="0"/>
    <s v="Very Good"/>
    <x v="21"/>
    <n v="2"/>
  </r>
  <r>
    <s v="Boutwell, Bonalyn"/>
    <n v="10081"/>
    <x v="8"/>
    <x v="26"/>
    <x v="1"/>
    <x v="1"/>
    <x v="0"/>
    <x v="1"/>
    <x v="21"/>
    <x v="0"/>
    <x v="0"/>
    <x v="0"/>
    <s v="Admin Offices"/>
    <x v="12"/>
    <n v="3"/>
    <x v="4"/>
    <x v="1"/>
    <n v="5"/>
    <x v="2"/>
    <s v="Good"/>
    <x v="9"/>
    <n v="4"/>
  </r>
  <r>
    <s v="Bozzi, Charles"/>
    <n v="10175"/>
    <x v="9"/>
    <x v="27"/>
    <x v="0"/>
    <x v="0"/>
    <x v="0"/>
    <x v="3"/>
    <x v="7"/>
    <x v="11"/>
    <x v="9"/>
    <x v="1"/>
    <s v="Production       "/>
    <x v="13"/>
    <n v="2"/>
    <x v="1"/>
    <x v="1"/>
    <n v="3.39"/>
    <x v="1"/>
    <s v="Fair"/>
    <x v="22"/>
    <n v="14"/>
  </r>
  <r>
    <s v="Brill, Donna"/>
    <n v="10177"/>
    <x v="0"/>
    <x v="28"/>
    <x v="1"/>
    <x v="1"/>
    <x v="0"/>
    <x v="0"/>
    <x v="11"/>
    <x v="12"/>
    <x v="4"/>
    <x v="1"/>
    <s v="Production       "/>
    <x v="10"/>
    <n v="14"/>
    <x v="2"/>
    <x v="1"/>
    <n v="3.35"/>
    <x v="2"/>
    <s v="Good"/>
    <x v="23"/>
    <n v="6"/>
  </r>
  <r>
    <s v="Brown, Mia"/>
    <n v="10238"/>
    <x v="10"/>
    <x v="29"/>
    <x v="1"/>
    <x v="1"/>
    <x v="0"/>
    <x v="1"/>
    <x v="22"/>
    <x v="0"/>
    <x v="0"/>
    <x v="0"/>
    <s v="Admin Offices"/>
    <x v="12"/>
    <n v="1"/>
    <x v="4"/>
    <x v="1"/>
    <n v="4.5"/>
    <x v="3"/>
    <s v="Poor"/>
    <x v="24"/>
    <n v="14"/>
  </r>
  <r>
    <s v="Buccheri, Joseph  "/>
    <n v="10184"/>
    <x v="2"/>
    <x v="30"/>
    <x v="0"/>
    <x v="0"/>
    <x v="0"/>
    <x v="0"/>
    <x v="23"/>
    <x v="0"/>
    <x v="0"/>
    <x v="0"/>
    <s v="Production       "/>
    <x v="4"/>
    <m/>
    <x v="2"/>
    <x v="1"/>
    <n v="3.19"/>
    <x v="1"/>
    <s v="Fair"/>
    <x v="25"/>
    <n v="9"/>
  </r>
  <r>
    <s v="Bugali, Josephine "/>
    <n v="10203"/>
    <x v="0"/>
    <x v="31"/>
    <x v="1"/>
    <x v="4"/>
    <x v="0"/>
    <x v="1"/>
    <x v="24"/>
    <x v="0"/>
    <x v="0"/>
    <x v="0"/>
    <s v="Production       "/>
    <x v="2"/>
    <n v="20"/>
    <x v="4"/>
    <x v="1"/>
    <n v="3.5"/>
    <x v="0"/>
    <s v="Very Good"/>
    <x v="26"/>
    <n v="17"/>
  </r>
  <r>
    <s v="Bunbury, Jessica"/>
    <n v="10188"/>
    <x v="11"/>
    <x v="32"/>
    <x v="1"/>
    <x v="1"/>
    <x v="1"/>
    <x v="1"/>
    <x v="25"/>
    <x v="13"/>
    <x v="4"/>
    <x v="1"/>
    <s v="Sales"/>
    <x v="14"/>
    <n v="17"/>
    <x v="2"/>
    <x v="1"/>
    <n v="3.14"/>
    <x v="0"/>
    <s v="Very Good"/>
    <x v="27"/>
    <n v="19"/>
  </r>
  <r>
    <s v="Burke, Joelle"/>
    <n v="10107"/>
    <x v="2"/>
    <x v="33"/>
    <x v="1"/>
    <x v="0"/>
    <x v="0"/>
    <x v="1"/>
    <x v="26"/>
    <x v="0"/>
    <x v="0"/>
    <x v="0"/>
    <s v="Production       "/>
    <x v="5"/>
    <n v="11"/>
    <x v="3"/>
    <x v="1"/>
    <n v="4.51"/>
    <x v="2"/>
    <s v="Good"/>
    <x v="28"/>
    <n v="3"/>
  </r>
  <r>
    <s v="Burkett, Benjamin "/>
    <n v="10181"/>
    <x v="2"/>
    <x v="34"/>
    <x v="0"/>
    <x v="1"/>
    <x v="0"/>
    <x v="0"/>
    <x v="16"/>
    <x v="0"/>
    <x v="0"/>
    <x v="0"/>
    <s v="Production       "/>
    <x v="7"/>
    <n v="19"/>
    <x v="1"/>
    <x v="1"/>
    <n v="3.25"/>
    <x v="0"/>
    <s v="Very Good"/>
    <x v="15"/>
    <n v="15"/>
  </r>
  <r>
    <s v="Cady, Max "/>
    <n v="10150"/>
    <x v="12"/>
    <x v="35"/>
    <x v="0"/>
    <x v="0"/>
    <x v="0"/>
    <x v="0"/>
    <x v="25"/>
    <x v="0"/>
    <x v="0"/>
    <x v="0"/>
    <s v="Software Engineering"/>
    <x v="15"/>
    <n v="5"/>
    <x v="2"/>
    <x v="1"/>
    <n v="3.84"/>
    <x v="1"/>
    <s v="Fair"/>
    <x v="26"/>
    <n v="4"/>
  </r>
  <r>
    <s v="Candie, Calvin"/>
    <n v="10001"/>
    <x v="9"/>
    <x v="36"/>
    <x v="0"/>
    <x v="0"/>
    <x v="0"/>
    <x v="0"/>
    <x v="27"/>
    <x v="0"/>
    <x v="0"/>
    <x v="0"/>
    <s v="Production       "/>
    <x v="13"/>
    <n v="2"/>
    <x v="1"/>
    <x v="0"/>
    <n v="5"/>
    <x v="1"/>
    <s v="Fair"/>
    <x v="29"/>
    <n v="14"/>
  </r>
  <r>
    <s v="Carabbio, Judith"/>
    <n v="10085"/>
    <x v="3"/>
    <x v="37"/>
    <x v="1"/>
    <x v="0"/>
    <x v="0"/>
    <x v="0"/>
    <x v="24"/>
    <x v="0"/>
    <x v="0"/>
    <x v="0"/>
    <s v="Software Engineering"/>
    <x v="6"/>
    <n v="10"/>
    <x v="1"/>
    <x v="1"/>
    <n v="4.96"/>
    <x v="2"/>
    <s v="Good"/>
    <x v="30"/>
    <n v="3"/>
  </r>
  <r>
    <s v="Carey, Michael  "/>
    <n v="10115"/>
    <x v="0"/>
    <x v="38"/>
    <x v="0"/>
    <x v="0"/>
    <x v="0"/>
    <x v="1"/>
    <x v="28"/>
    <x v="0"/>
    <x v="0"/>
    <x v="0"/>
    <s v="Production       "/>
    <x v="11"/>
    <n v="18"/>
    <x v="0"/>
    <x v="1"/>
    <n v="4.43"/>
    <x v="1"/>
    <s v="Fair"/>
    <x v="25"/>
    <n v="14"/>
  </r>
  <r>
    <s v="Carr, Claudia  N"/>
    <n v="10082"/>
    <x v="1"/>
    <x v="39"/>
    <x v="1"/>
    <x v="0"/>
    <x v="0"/>
    <x v="1"/>
    <x v="29"/>
    <x v="0"/>
    <x v="0"/>
    <x v="0"/>
    <s v="IT/IS"/>
    <x v="1"/>
    <n v="4"/>
    <x v="0"/>
    <x v="1"/>
    <n v="5"/>
    <x v="0"/>
    <s v="Very Good"/>
    <x v="9"/>
    <n v="7"/>
  </r>
  <r>
    <s v="Carter, Michelle "/>
    <n v="10040"/>
    <x v="11"/>
    <x v="40"/>
    <x v="1"/>
    <x v="0"/>
    <x v="0"/>
    <x v="0"/>
    <x v="30"/>
    <x v="0"/>
    <x v="0"/>
    <x v="0"/>
    <s v="Sales"/>
    <x v="14"/>
    <n v="17"/>
    <x v="1"/>
    <x v="1"/>
    <n v="5"/>
    <x v="0"/>
    <s v="Very Good"/>
    <x v="26"/>
    <n v="7"/>
  </r>
  <r>
    <s v="Chace, Beatrice "/>
    <n v="10067"/>
    <x v="0"/>
    <x v="41"/>
    <x v="1"/>
    <x v="0"/>
    <x v="0"/>
    <x v="0"/>
    <x v="23"/>
    <x v="0"/>
    <x v="0"/>
    <x v="0"/>
    <s v="Production       "/>
    <x v="0"/>
    <n v="22"/>
    <x v="2"/>
    <x v="1"/>
    <n v="5"/>
    <x v="2"/>
    <s v="Good"/>
    <x v="31"/>
    <n v="11"/>
  </r>
  <r>
    <s v="Champaigne, Brian"/>
    <n v="10108"/>
    <x v="13"/>
    <x v="42"/>
    <x v="0"/>
    <x v="1"/>
    <x v="0"/>
    <x v="0"/>
    <x v="31"/>
    <x v="0"/>
    <x v="0"/>
    <x v="0"/>
    <s v="IT/IS"/>
    <x v="15"/>
    <n v="5"/>
    <x v="1"/>
    <x v="1"/>
    <n v="4.5"/>
    <x v="0"/>
    <s v="Very Good"/>
    <x v="24"/>
    <n v="8"/>
  </r>
  <r>
    <s v="Chan, Lin"/>
    <n v="10210"/>
    <x v="0"/>
    <x v="43"/>
    <x v="1"/>
    <x v="0"/>
    <x v="0"/>
    <x v="0"/>
    <x v="32"/>
    <x v="0"/>
    <x v="0"/>
    <x v="0"/>
    <s v="Production       "/>
    <x v="3"/>
    <n v="16"/>
    <x v="1"/>
    <x v="1"/>
    <n v="3.3"/>
    <x v="2"/>
    <s v="Good"/>
    <x v="32"/>
    <n v="11"/>
  </r>
  <r>
    <s v="Chang, Donovan  E"/>
    <n v="10154"/>
    <x v="0"/>
    <x v="44"/>
    <x v="0"/>
    <x v="0"/>
    <x v="0"/>
    <x v="0"/>
    <x v="18"/>
    <x v="0"/>
    <x v="0"/>
    <x v="0"/>
    <s v="Production       "/>
    <x v="4"/>
    <m/>
    <x v="0"/>
    <x v="1"/>
    <n v="3.8"/>
    <x v="0"/>
    <s v="Very Good"/>
    <x v="15"/>
    <n v="4"/>
  </r>
  <r>
    <s v="Chigurh, Anton"/>
    <n v="10200"/>
    <x v="11"/>
    <x v="45"/>
    <x v="0"/>
    <x v="0"/>
    <x v="1"/>
    <x v="1"/>
    <x v="33"/>
    <x v="0"/>
    <x v="0"/>
    <x v="0"/>
    <s v="Sales"/>
    <x v="16"/>
    <n v="21"/>
    <x v="3"/>
    <x v="1"/>
    <n v="3"/>
    <x v="0"/>
    <s v="Very Good"/>
    <x v="33"/>
    <n v="17"/>
  </r>
  <r>
    <s v="Chivukula, Enola"/>
    <n v="10240"/>
    <x v="0"/>
    <x v="46"/>
    <x v="1"/>
    <x v="0"/>
    <x v="0"/>
    <x v="0"/>
    <x v="34"/>
    <x v="14"/>
    <x v="10"/>
    <x v="1"/>
    <s v="Production       "/>
    <x v="5"/>
    <n v="11"/>
    <x v="1"/>
    <x v="1"/>
    <n v="4.3"/>
    <x v="2"/>
    <s v="Good"/>
    <x v="34"/>
    <n v="3"/>
  </r>
  <r>
    <s v="Cierpiszewski, Caroline  "/>
    <n v="10168"/>
    <x v="0"/>
    <x v="47"/>
    <x v="1"/>
    <x v="0"/>
    <x v="2"/>
    <x v="1"/>
    <x v="35"/>
    <x v="0"/>
    <x v="0"/>
    <x v="0"/>
    <s v="Production       "/>
    <x v="7"/>
    <n v="19"/>
    <x v="1"/>
    <x v="1"/>
    <n v="3.58"/>
    <x v="0"/>
    <s v="Very Good"/>
    <x v="30"/>
    <n v="3"/>
  </r>
  <r>
    <s v="Clayton, Rick"/>
    <n v="10220"/>
    <x v="4"/>
    <x v="48"/>
    <x v="0"/>
    <x v="0"/>
    <x v="0"/>
    <x v="0"/>
    <x v="36"/>
    <x v="0"/>
    <x v="0"/>
    <x v="0"/>
    <s v="IT/IS"/>
    <x v="17"/>
    <n v="6"/>
    <x v="1"/>
    <x v="1"/>
    <n v="4.7"/>
    <x v="1"/>
    <s v="Fair"/>
    <x v="19"/>
    <n v="2"/>
  </r>
  <r>
    <s v="Cloninger, Jennifer"/>
    <n v="10275"/>
    <x v="2"/>
    <x v="49"/>
    <x v="1"/>
    <x v="1"/>
    <x v="0"/>
    <x v="0"/>
    <x v="37"/>
    <x v="15"/>
    <x v="5"/>
    <x v="1"/>
    <s v="Production       "/>
    <x v="8"/>
    <n v="12"/>
    <x v="2"/>
    <x v="1"/>
    <n v="4.2"/>
    <x v="0"/>
    <s v="Very Good"/>
    <x v="35"/>
    <n v="9"/>
  </r>
  <r>
    <s v="Close, Phil"/>
    <n v="10269"/>
    <x v="2"/>
    <x v="50"/>
    <x v="0"/>
    <x v="1"/>
    <x v="0"/>
    <x v="0"/>
    <x v="38"/>
    <x v="16"/>
    <x v="1"/>
    <x v="1"/>
    <s v="Production       "/>
    <x v="10"/>
    <n v="14"/>
    <x v="1"/>
    <x v="1"/>
    <n v="4.2"/>
    <x v="2"/>
    <s v="Good"/>
    <x v="36"/>
    <n v="6"/>
  </r>
  <r>
    <s v="Clukey, Elijian"/>
    <n v="10029"/>
    <x v="0"/>
    <x v="51"/>
    <x v="0"/>
    <x v="1"/>
    <x v="0"/>
    <x v="0"/>
    <x v="39"/>
    <x v="0"/>
    <x v="0"/>
    <x v="0"/>
    <s v="Production       "/>
    <x v="8"/>
    <n v="12"/>
    <x v="3"/>
    <x v="0"/>
    <n v="4.0999999999999996"/>
    <x v="2"/>
    <s v="Good"/>
    <x v="37"/>
    <n v="5"/>
  </r>
  <r>
    <s v="Cockel, James"/>
    <n v="10261"/>
    <x v="0"/>
    <x v="52"/>
    <x v="0"/>
    <x v="0"/>
    <x v="0"/>
    <x v="0"/>
    <x v="18"/>
    <x v="0"/>
    <x v="0"/>
    <x v="0"/>
    <s v="Production       "/>
    <x v="10"/>
    <n v="14"/>
    <x v="3"/>
    <x v="1"/>
    <n v="4.4000000000000004"/>
    <x v="0"/>
    <s v="Very Good"/>
    <x v="15"/>
    <n v="3"/>
  </r>
  <r>
    <s v="Cole, Spencer"/>
    <n v="10292"/>
    <x v="0"/>
    <x v="53"/>
    <x v="0"/>
    <x v="0"/>
    <x v="0"/>
    <x v="1"/>
    <x v="4"/>
    <x v="17"/>
    <x v="7"/>
    <x v="2"/>
    <s v="Production       "/>
    <x v="2"/>
    <n v="20"/>
    <x v="0"/>
    <x v="2"/>
    <n v="2"/>
    <x v="1"/>
    <s v="Fair"/>
    <x v="38"/>
    <n v="16"/>
  </r>
  <r>
    <s v="Corleone, Michael"/>
    <n v="10282"/>
    <x v="9"/>
    <x v="54"/>
    <x v="0"/>
    <x v="2"/>
    <x v="0"/>
    <x v="0"/>
    <x v="40"/>
    <x v="0"/>
    <x v="0"/>
    <x v="0"/>
    <s v="Production       "/>
    <x v="13"/>
    <n v="2"/>
    <x v="6"/>
    <x v="2"/>
    <n v="4.13"/>
    <x v="3"/>
    <s v="Poor"/>
    <x v="15"/>
    <n v="3"/>
  </r>
  <r>
    <s v="Corleone, Vito"/>
    <n v="10019"/>
    <x v="14"/>
    <x v="55"/>
    <x v="0"/>
    <x v="0"/>
    <x v="0"/>
    <x v="1"/>
    <x v="41"/>
    <x v="0"/>
    <x v="0"/>
    <x v="0"/>
    <s v="Production       "/>
    <x v="13"/>
    <n v="2"/>
    <x v="1"/>
    <x v="0"/>
    <n v="3.7"/>
    <x v="0"/>
    <s v="Very Good"/>
    <x v="39"/>
    <n v="15"/>
  </r>
  <r>
    <s v="Cornett, Lisa "/>
    <n v="10094"/>
    <x v="0"/>
    <x v="56"/>
    <x v="1"/>
    <x v="1"/>
    <x v="0"/>
    <x v="0"/>
    <x v="9"/>
    <x v="0"/>
    <x v="0"/>
    <x v="0"/>
    <s v="Production       "/>
    <x v="11"/>
    <n v="18"/>
    <x v="1"/>
    <x v="1"/>
    <n v="4.7300000000000004"/>
    <x v="0"/>
    <s v="Very Good"/>
    <x v="12"/>
    <n v="6"/>
  </r>
  <r>
    <s v="Costello, Frank"/>
    <n v="10193"/>
    <x v="5"/>
    <x v="57"/>
    <x v="0"/>
    <x v="1"/>
    <x v="0"/>
    <x v="0"/>
    <x v="1"/>
    <x v="0"/>
    <x v="0"/>
    <x v="0"/>
    <s v="IT/IS"/>
    <x v="1"/>
    <n v="4"/>
    <x v="1"/>
    <x v="1"/>
    <n v="3.04"/>
    <x v="1"/>
    <s v="Fair"/>
    <x v="40"/>
    <n v="2"/>
  </r>
  <r>
    <s v="Crimmings,   Jean"/>
    <n v="10132"/>
    <x v="0"/>
    <x v="58"/>
    <x v="1"/>
    <x v="0"/>
    <x v="0"/>
    <x v="0"/>
    <x v="39"/>
    <x v="0"/>
    <x v="0"/>
    <x v="0"/>
    <s v="Production       "/>
    <x v="0"/>
    <n v="22"/>
    <x v="0"/>
    <x v="1"/>
    <n v="4.12"/>
    <x v="0"/>
    <s v="Very Good"/>
    <x v="41"/>
    <n v="15"/>
  </r>
  <r>
    <s v="Cross, Noah"/>
    <n v="10083"/>
    <x v="15"/>
    <x v="59"/>
    <x v="0"/>
    <x v="0"/>
    <x v="0"/>
    <x v="0"/>
    <x v="6"/>
    <x v="0"/>
    <x v="0"/>
    <x v="0"/>
    <s v="IT/IS"/>
    <x v="9"/>
    <n v="7"/>
    <x v="3"/>
    <x v="1"/>
    <n v="5"/>
    <x v="1"/>
    <s v="Fair"/>
    <x v="6"/>
    <n v="5"/>
  </r>
  <r>
    <s v="Daneault, Lynn"/>
    <n v="10099"/>
    <x v="16"/>
    <x v="60"/>
    <x v="1"/>
    <x v="0"/>
    <x v="0"/>
    <x v="0"/>
    <x v="42"/>
    <x v="0"/>
    <x v="0"/>
    <x v="0"/>
    <s v="Sales"/>
    <x v="18"/>
    <n v="15"/>
    <x v="1"/>
    <x v="1"/>
    <n v="4.62"/>
    <x v="2"/>
    <s v="Good"/>
    <x v="42"/>
    <n v="8"/>
  </r>
  <r>
    <s v="Daniele, Ann  "/>
    <n v="10212"/>
    <x v="15"/>
    <x v="61"/>
    <x v="1"/>
    <x v="1"/>
    <x v="0"/>
    <x v="0"/>
    <x v="6"/>
    <x v="0"/>
    <x v="0"/>
    <x v="0"/>
    <s v="IT/IS"/>
    <x v="9"/>
    <n v="7"/>
    <x v="0"/>
    <x v="1"/>
    <n v="3.1"/>
    <x v="0"/>
    <s v="Very Good"/>
    <x v="31"/>
    <n v="19"/>
  </r>
  <r>
    <s v="Darson, Jene'ya "/>
    <n v="10056"/>
    <x v="0"/>
    <x v="62"/>
    <x v="1"/>
    <x v="1"/>
    <x v="0"/>
    <x v="0"/>
    <x v="43"/>
    <x v="0"/>
    <x v="0"/>
    <x v="0"/>
    <s v="Production       "/>
    <x v="3"/>
    <n v="16"/>
    <x v="1"/>
    <x v="1"/>
    <n v="5"/>
    <x v="1"/>
    <s v="Fair"/>
    <x v="7"/>
    <n v="1"/>
  </r>
  <r>
    <s v="Davis, Daniel"/>
    <n v="10143"/>
    <x v="2"/>
    <x v="63"/>
    <x v="0"/>
    <x v="0"/>
    <x v="1"/>
    <x v="2"/>
    <x v="44"/>
    <x v="0"/>
    <x v="0"/>
    <x v="0"/>
    <s v="Production       "/>
    <x v="2"/>
    <n v="20"/>
    <x v="0"/>
    <x v="1"/>
    <n v="3.96"/>
    <x v="2"/>
    <s v="Good"/>
    <x v="19"/>
    <n v="6"/>
  </r>
  <r>
    <s v="Dee, Randy"/>
    <n v="10311"/>
    <x v="0"/>
    <x v="64"/>
    <x v="0"/>
    <x v="1"/>
    <x v="0"/>
    <x v="0"/>
    <x v="45"/>
    <x v="0"/>
    <x v="0"/>
    <x v="0"/>
    <s v="Production       "/>
    <x v="8"/>
    <n v="12"/>
    <x v="1"/>
    <x v="1"/>
    <n v="4.3"/>
    <x v="2"/>
    <s v="Good"/>
    <x v="43"/>
    <n v="2"/>
  </r>
  <r>
    <s v="DeGweck,  James"/>
    <n v="10070"/>
    <x v="0"/>
    <x v="65"/>
    <x v="0"/>
    <x v="1"/>
    <x v="0"/>
    <x v="0"/>
    <x v="37"/>
    <x v="18"/>
    <x v="5"/>
    <x v="1"/>
    <s v="Production       "/>
    <x v="4"/>
    <n v="39"/>
    <x v="1"/>
    <x v="1"/>
    <n v="5"/>
    <x v="2"/>
    <s v="Good"/>
    <x v="44"/>
    <n v="14"/>
  </r>
  <r>
    <s v="Del Bosque, Keyla"/>
    <n v="10155"/>
    <x v="3"/>
    <x v="66"/>
    <x v="1"/>
    <x v="0"/>
    <x v="0"/>
    <x v="1"/>
    <x v="5"/>
    <x v="0"/>
    <x v="0"/>
    <x v="0"/>
    <s v="Software Engineering"/>
    <x v="6"/>
    <n v="10"/>
    <x v="6"/>
    <x v="1"/>
    <n v="3.79"/>
    <x v="0"/>
    <s v="Very Good"/>
    <x v="8"/>
    <n v="8"/>
  </r>
  <r>
    <s v="Delarge, Alex"/>
    <n v="10306"/>
    <x v="11"/>
    <x v="67"/>
    <x v="0"/>
    <x v="0"/>
    <x v="0"/>
    <x v="2"/>
    <x v="23"/>
    <x v="0"/>
    <x v="0"/>
    <x v="0"/>
    <s v="Sales"/>
    <x v="14"/>
    <n v="17"/>
    <x v="1"/>
    <x v="3"/>
    <n v="1.93"/>
    <x v="1"/>
    <s v="Fair"/>
    <x v="30"/>
    <n v="5"/>
  </r>
  <r>
    <s v="Demita, Carla"/>
    <n v="10100"/>
    <x v="2"/>
    <x v="68"/>
    <x v="1"/>
    <x v="4"/>
    <x v="0"/>
    <x v="1"/>
    <x v="16"/>
    <x v="19"/>
    <x v="11"/>
    <x v="1"/>
    <s v="Production       "/>
    <x v="11"/>
    <n v="18"/>
    <x v="2"/>
    <x v="1"/>
    <n v="4.62"/>
    <x v="0"/>
    <s v="Very Good"/>
    <x v="45"/>
    <n v="1"/>
  </r>
  <r>
    <s v="Desimone, Carl "/>
    <n v="10310"/>
    <x v="0"/>
    <x v="69"/>
    <x v="0"/>
    <x v="1"/>
    <x v="0"/>
    <x v="0"/>
    <x v="17"/>
    <x v="0"/>
    <x v="0"/>
    <x v="0"/>
    <s v="Production       "/>
    <x v="5"/>
    <n v="11"/>
    <x v="1"/>
    <x v="3"/>
    <n v="1.1200000000000001"/>
    <x v="3"/>
    <s v="Poor"/>
    <x v="43"/>
    <n v="9"/>
  </r>
  <r>
    <s v="DeVito, Tommy"/>
    <n v="10197"/>
    <x v="17"/>
    <x v="70"/>
    <x v="0"/>
    <x v="0"/>
    <x v="0"/>
    <x v="0"/>
    <x v="46"/>
    <x v="0"/>
    <x v="0"/>
    <x v="0"/>
    <s v="IT/IS"/>
    <x v="19"/>
    <n v="13"/>
    <x v="1"/>
    <x v="1"/>
    <n v="3.01"/>
    <x v="0"/>
    <s v="Very Good"/>
    <x v="46"/>
    <n v="15"/>
  </r>
  <r>
    <s v="Dickinson, Geoff "/>
    <n v="10276"/>
    <x v="0"/>
    <x v="71"/>
    <x v="0"/>
    <x v="0"/>
    <x v="0"/>
    <x v="0"/>
    <x v="32"/>
    <x v="0"/>
    <x v="0"/>
    <x v="0"/>
    <s v="Production       "/>
    <x v="7"/>
    <n v="19"/>
    <x v="1"/>
    <x v="1"/>
    <n v="4.3"/>
    <x v="2"/>
    <s v="Good"/>
    <x v="32"/>
    <n v="1"/>
  </r>
  <r>
    <s v="Dietrich, Jenna  "/>
    <n v="10304"/>
    <x v="11"/>
    <x v="72"/>
    <x v="1"/>
    <x v="0"/>
    <x v="0"/>
    <x v="0"/>
    <x v="12"/>
    <x v="0"/>
    <x v="0"/>
    <x v="0"/>
    <s v="Sales"/>
    <x v="14"/>
    <n v="17"/>
    <x v="7"/>
    <x v="3"/>
    <n v="2.2999999999999998"/>
    <x v="4"/>
    <s v="Very Poor"/>
    <x v="47"/>
    <n v="17"/>
  </r>
  <r>
    <s v="DiNocco, Lily "/>
    <n v="10284"/>
    <x v="0"/>
    <x v="73"/>
    <x v="1"/>
    <x v="1"/>
    <x v="0"/>
    <x v="1"/>
    <x v="47"/>
    <x v="0"/>
    <x v="0"/>
    <x v="0"/>
    <s v="Production       "/>
    <x v="8"/>
    <n v="12"/>
    <x v="1"/>
    <x v="2"/>
    <n v="3.88"/>
    <x v="2"/>
    <s v="Good"/>
    <x v="48"/>
    <n v="6"/>
  </r>
  <r>
    <s v="Dobrin, Denisa  S"/>
    <n v="10207"/>
    <x v="0"/>
    <x v="74"/>
    <x v="1"/>
    <x v="0"/>
    <x v="0"/>
    <x v="0"/>
    <x v="11"/>
    <x v="0"/>
    <x v="0"/>
    <x v="0"/>
    <s v="Production       "/>
    <x v="10"/>
    <n v="14"/>
    <x v="6"/>
    <x v="1"/>
    <n v="3.4"/>
    <x v="0"/>
    <s v="Very Good"/>
    <x v="32"/>
    <n v="15"/>
  </r>
  <r>
    <s v="Dolan, Linda"/>
    <n v="10133"/>
    <x v="4"/>
    <x v="75"/>
    <x v="1"/>
    <x v="1"/>
    <x v="0"/>
    <x v="0"/>
    <x v="9"/>
    <x v="0"/>
    <x v="0"/>
    <x v="0"/>
    <s v="IT/IS"/>
    <x v="9"/>
    <n v="7"/>
    <x v="3"/>
    <x v="1"/>
    <n v="4.1100000000000003"/>
    <x v="2"/>
    <s v="Good"/>
    <x v="7"/>
    <n v="16"/>
  </r>
  <r>
    <s v="Dougall, Eric"/>
    <n v="10028"/>
    <x v="18"/>
    <x v="76"/>
    <x v="0"/>
    <x v="0"/>
    <x v="0"/>
    <x v="1"/>
    <x v="48"/>
    <x v="0"/>
    <x v="0"/>
    <x v="0"/>
    <s v="IT/IS"/>
    <x v="15"/>
    <n v="5"/>
    <x v="1"/>
    <x v="0"/>
    <n v="4.3"/>
    <x v="0"/>
    <s v="Very Good"/>
    <x v="49"/>
    <n v="4"/>
  </r>
  <r>
    <s v="Driver, Elle"/>
    <n v="10006"/>
    <x v="11"/>
    <x v="77"/>
    <x v="1"/>
    <x v="0"/>
    <x v="0"/>
    <x v="0"/>
    <x v="10"/>
    <x v="0"/>
    <x v="0"/>
    <x v="0"/>
    <s v="Sales"/>
    <x v="16"/>
    <n v="21"/>
    <x v="1"/>
    <x v="0"/>
    <n v="4.7699999999999996"/>
    <x v="0"/>
    <s v="Very Good"/>
    <x v="50"/>
    <n v="14"/>
  </r>
  <r>
    <s v="Dunn, Amy  "/>
    <n v="10105"/>
    <x v="9"/>
    <x v="78"/>
    <x v="1"/>
    <x v="0"/>
    <x v="0"/>
    <x v="0"/>
    <x v="49"/>
    <x v="0"/>
    <x v="0"/>
    <x v="0"/>
    <s v="Production       "/>
    <x v="13"/>
    <n v="2"/>
    <x v="2"/>
    <x v="1"/>
    <n v="4.5199999999999996"/>
    <x v="2"/>
    <s v="Good"/>
    <x v="24"/>
    <n v="4"/>
  </r>
  <r>
    <s v="Dunne, Amy"/>
    <n v="10211"/>
    <x v="0"/>
    <x v="79"/>
    <x v="1"/>
    <x v="1"/>
    <x v="0"/>
    <x v="0"/>
    <x v="50"/>
    <x v="0"/>
    <x v="0"/>
    <x v="0"/>
    <s v="Production       "/>
    <x v="7"/>
    <n v="19"/>
    <x v="2"/>
    <x v="1"/>
    <n v="2.9"/>
    <x v="1"/>
    <s v="Fair"/>
    <x v="26"/>
    <n v="6"/>
  </r>
  <r>
    <s v="Eaton, Marianne"/>
    <n v="10064"/>
    <x v="0"/>
    <x v="80"/>
    <x v="1"/>
    <x v="1"/>
    <x v="0"/>
    <x v="0"/>
    <x v="16"/>
    <x v="20"/>
    <x v="12"/>
    <x v="1"/>
    <s v="Production       "/>
    <x v="2"/>
    <n v="20"/>
    <x v="2"/>
    <x v="1"/>
    <n v="5"/>
    <x v="1"/>
    <s v="Fair"/>
    <x v="51"/>
    <n v="7"/>
  </r>
  <r>
    <s v="Engdahl, Jean"/>
    <n v="10247"/>
    <x v="0"/>
    <x v="81"/>
    <x v="0"/>
    <x v="0"/>
    <x v="0"/>
    <x v="0"/>
    <x v="6"/>
    <x v="0"/>
    <x v="0"/>
    <x v="0"/>
    <s v="Production       "/>
    <x v="11"/>
    <n v="18"/>
    <x v="0"/>
    <x v="1"/>
    <n v="4.7"/>
    <x v="0"/>
    <s v="Very Good"/>
    <x v="52"/>
    <n v="8"/>
  </r>
  <r>
    <s v="England, Rex"/>
    <n v="10235"/>
    <x v="0"/>
    <x v="82"/>
    <x v="0"/>
    <x v="1"/>
    <x v="0"/>
    <x v="0"/>
    <x v="28"/>
    <x v="0"/>
    <x v="0"/>
    <x v="0"/>
    <s v="Production       "/>
    <x v="11"/>
    <n v="18"/>
    <x v="3"/>
    <x v="1"/>
    <n v="4.2"/>
    <x v="1"/>
    <s v="Fair"/>
    <x v="17"/>
    <n v="3"/>
  </r>
  <r>
    <s v="Erilus, Angela"/>
    <n v="10299"/>
    <x v="2"/>
    <x v="83"/>
    <x v="1"/>
    <x v="4"/>
    <x v="0"/>
    <x v="0"/>
    <x v="17"/>
    <x v="0"/>
    <x v="0"/>
    <x v="0"/>
    <s v="Production       "/>
    <x v="0"/>
    <n v="22"/>
    <x v="1"/>
    <x v="3"/>
    <n v="3"/>
    <x v="4"/>
    <s v="Very Poor"/>
    <x v="7"/>
    <n v="5"/>
  </r>
  <r>
    <s v="Estremera, Miguel"/>
    <n v="10280"/>
    <x v="0"/>
    <x v="84"/>
    <x v="0"/>
    <x v="0"/>
    <x v="0"/>
    <x v="0"/>
    <x v="11"/>
    <x v="21"/>
    <x v="6"/>
    <x v="2"/>
    <s v="Production       "/>
    <x v="0"/>
    <n v="22"/>
    <x v="2"/>
    <x v="2"/>
    <n v="5"/>
    <x v="2"/>
    <s v="Good"/>
    <x v="53"/>
    <n v="16"/>
  </r>
  <r>
    <s v="Evensen, April"/>
    <n v="10296"/>
    <x v="0"/>
    <x v="85"/>
    <x v="1"/>
    <x v="0"/>
    <x v="0"/>
    <x v="0"/>
    <x v="20"/>
    <x v="22"/>
    <x v="13"/>
    <x v="2"/>
    <s v="Production       "/>
    <x v="3"/>
    <n v="16"/>
    <x v="2"/>
    <x v="2"/>
    <n v="2.2999999999999998"/>
    <x v="1"/>
    <s v="Fair"/>
    <x v="54"/>
    <n v="19"/>
  </r>
  <r>
    <s v="Exantus, Susan"/>
    <n v="10290"/>
    <x v="3"/>
    <x v="86"/>
    <x v="1"/>
    <x v="1"/>
    <x v="0"/>
    <x v="1"/>
    <x v="51"/>
    <x v="23"/>
    <x v="6"/>
    <x v="2"/>
    <s v="Software Engineering"/>
    <x v="6"/>
    <n v="10"/>
    <x v="1"/>
    <x v="2"/>
    <n v="2.1"/>
    <x v="0"/>
    <s v="Very Good"/>
    <x v="55"/>
    <n v="19"/>
  </r>
  <r>
    <s v="Faller, Megan "/>
    <n v="10263"/>
    <x v="2"/>
    <x v="87"/>
    <x v="1"/>
    <x v="1"/>
    <x v="0"/>
    <x v="1"/>
    <x v="17"/>
    <x v="0"/>
    <x v="0"/>
    <x v="0"/>
    <s v="Production       "/>
    <x v="3"/>
    <n v="16"/>
    <x v="0"/>
    <x v="1"/>
    <n v="4.4000000000000004"/>
    <x v="0"/>
    <s v="Very Good"/>
    <x v="29"/>
    <n v="17"/>
  </r>
  <r>
    <s v="Fancett, Nicole"/>
    <n v="10136"/>
    <x v="2"/>
    <x v="88"/>
    <x v="1"/>
    <x v="0"/>
    <x v="0"/>
    <x v="1"/>
    <x v="20"/>
    <x v="0"/>
    <x v="0"/>
    <x v="0"/>
    <s v="Production       "/>
    <x v="4"/>
    <m/>
    <x v="0"/>
    <x v="1"/>
    <n v="4"/>
    <x v="2"/>
    <s v="Good"/>
    <x v="5"/>
    <n v="7"/>
  </r>
  <r>
    <s v="Ferguson, Susan"/>
    <n v="10189"/>
    <x v="0"/>
    <x v="89"/>
    <x v="1"/>
    <x v="1"/>
    <x v="0"/>
    <x v="0"/>
    <x v="44"/>
    <x v="24"/>
    <x v="12"/>
    <x v="1"/>
    <s v="Production       "/>
    <x v="4"/>
    <n v="39"/>
    <x v="2"/>
    <x v="1"/>
    <n v="3.13"/>
    <x v="1"/>
    <s v="Fair"/>
    <x v="56"/>
    <n v="16"/>
  </r>
  <r>
    <s v="Fernandes, Nilson  "/>
    <n v="10308"/>
    <x v="0"/>
    <x v="90"/>
    <x v="0"/>
    <x v="1"/>
    <x v="0"/>
    <x v="0"/>
    <x v="52"/>
    <x v="0"/>
    <x v="0"/>
    <x v="0"/>
    <s v="Production       "/>
    <x v="5"/>
    <n v="11"/>
    <x v="1"/>
    <x v="3"/>
    <n v="1.56"/>
    <x v="0"/>
    <s v="Very Good"/>
    <x v="3"/>
    <n v="15"/>
  </r>
  <r>
    <s v="Fett, Boba"/>
    <n v="10309"/>
    <x v="19"/>
    <x v="91"/>
    <x v="0"/>
    <x v="0"/>
    <x v="0"/>
    <x v="0"/>
    <x v="1"/>
    <x v="0"/>
    <x v="0"/>
    <x v="0"/>
    <s v="IT/IS"/>
    <x v="9"/>
    <n v="7"/>
    <x v="0"/>
    <x v="3"/>
    <n v="1.2"/>
    <x v="1"/>
    <s v="Fair"/>
    <x v="39"/>
    <n v="2"/>
  </r>
  <r>
    <s v="Fidelia,  Libby"/>
    <n v="10049"/>
    <x v="0"/>
    <x v="92"/>
    <x v="1"/>
    <x v="1"/>
    <x v="0"/>
    <x v="0"/>
    <x v="5"/>
    <x v="0"/>
    <x v="0"/>
    <x v="0"/>
    <s v="Production       "/>
    <x v="8"/>
    <n v="12"/>
    <x v="2"/>
    <x v="1"/>
    <n v="5"/>
    <x v="0"/>
    <s v="Very Good"/>
    <x v="47"/>
    <n v="19"/>
  </r>
  <r>
    <s v="Fitzpatrick, Michael  J"/>
    <n v="10093"/>
    <x v="2"/>
    <x v="93"/>
    <x v="0"/>
    <x v="0"/>
    <x v="0"/>
    <x v="0"/>
    <x v="37"/>
    <x v="25"/>
    <x v="2"/>
    <x v="1"/>
    <s v="Production       "/>
    <x v="5"/>
    <n v="11"/>
    <x v="2"/>
    <x v="1"/>
    <n v="4.76"/>
    <x v="0"/>
    <s v="Very Good"/>
    <x v="57"/>
    <n v="20"/>
  </r>
  <r>
    <s v="Foreman, Tanya"/>
    <n v="10163"/>
    <x v="2"/>
    <x v="94"/>
    <x v="1"/>
    <x v="1"/>
    <x v="0"/>
    <x v="0"/>
    <x v="16"/>
    <x v="26"/>
    <x v="1"/>
    <x v="1"/>
    <s v="Production       "/>
    <x v="7"/>
    <n v="19"/>
    <x v="2"/>
    <x v="1"/>
    <n v="3.66"/>
    <x v="1"/>
    <s v="Fair"/>
    <x v="58"/>
    <n v="6"/>
  </r>
  <r>
    <s v="Forrest, Alex"/>
    <n v="10305"/>
    <x v="11"/>
    <x v="95"/>
    <x v="0"/>
    <x v="1"/>
    <x v="0"/>
    <x v="0"/>
    <x v="23"/>
    <x v="27"/>
    <x v="14"/>
    <x v="2"/>
    <s v="Sales"/>
    <x v="16"/>
    <n v="21"/>
    <x v="3"/>
    <x v="3"/>
    <n v="2"/>
    <x v="0"/>
    <s v="Very Good"/>
    <x v="41"/>
    <n v="7"/>
  </r>
  <r>
    <s v="Foss, Jason"/>
    <n v="10015"/>
    <x v="20"/>
    <x v="96"/>
    <x v="0"/>
    <x v="0"/>
    <x v="0"/>
    <x v="1"/>
    <x v="53"/>
    <x v="0"/>
    <x v="0"/>
    <x v="0"/>
    <s v="IT/IS"/>
    <x v="15"/>
    <n v="5"/>
    <x v="1"/>
    <x v="0"/>
    <n v="5"/>
    <x v="0"/>
    <s v="Very Good"/>
    <x v="5"/>
    <n v="15"/>
  </r>
  <r>
    <s v="Foster-Baker, Amy"/>
    <n v="10080"/>
    <x v="8"/>
    <x v="97"/>
    <x v="1"/>
    <x v="1"/>
    <x v="0"/>
    <x v="0"/>
    <x v="41"/>
    <x v="0"/>
    <x v="0"/>
    <x v="0"/>
    <s v="Admin Offices"/>
    <x v="20"/>
    <n v="9"/>
    <x v="8"/>
    <x v="1"/>
    <n v="5"/>
    <x v="1"/>
    <s v="Fair"/>
    <x v="59"/>
    <n v="3"/>
  </r>
  <r>
    <s v="Fraval, Maruk "/>
    <n v="10258"/>
    <x v="11"/>
    <x v="98"/>
    <x v="0"/>
    <x v="0"/>
    <x v="0"/>
    <x v="1"/>
    <x v="54"/>
    <x v="0"/>
    <x v="0"/>
    <x v="0"/>
    <s v="Sales"/>
    <x v="16"/>
    <n v="21"/>
    <x v="6"/>
    <x v="1"/>
    <n v="4.3"/>
    <x v="1"/>
    <s v="Fair"/>
    <x v="50"/>
    <n v="7"/>
  </r>
  <r>
    <s v="Galia, Lisa"/>
    <n v="10273"/>
    <x v="4"/>
    <x v="99"/>
    <x v="1"/>
    <x v="0"/>
    <x v="0"/>
    <x v="0"/>
    <x v="55"/>
    <x v="0"/>
    <x v="0"/>
    <x v="0"/>
    <s v="IT/IS"/>
    <x v="17"/>
    <n v="6"/>
    <x v="0"/>
    <x v="1"/>
    <n v="4.7"/>
    <x v="2"/>
    <s v="Good"/>
    <x v="25"/>
    <n v="1"/>
  </r>
  <r>
    <s v="Garcia, Raul"/>
    <n v="10111"/>
    <x v="0"/>
    <x v="100"/>
    <x v="0"/>
    <x v="0"/>
    <x v="0"/>
    <x v="0"/>
    <x v="1"/>
    <x v="0"/>
    <x v="0"/>
    <x v="0"/>
    <s v="Production       "/>
    <x v="10"/>
    <n v="14"/>
    <x v="3"/>
    <x v="1"/>
    <n v="4.5"/>
    <x v="1"/>
    <s v="Fair"/>
    <x v="9"/>
    <n v="5"/>
  </r>
  <r>
    <s v="Gaul, Barbara"/>
    <n v="10257"/>
    <x v="0"/>
    <x v="38"/>
    <x v="1"/>
    <x v="0"/>
    <x v="0"/>
    <x v="1"/>
    <x v="37"/>
    <x v="0"/>
    <x v="0"/>
    <x v="0"/>
    <s v="Production       "/>
    <x v="11"/>
    <n v="18"/>
    <x v="0"/>
    <x v="1"/>
    <n v="4.2"/>
    <x v="2"/>
    <s v="Good"/>
    <x v="60"/>
    <n v="12"/>
  </r>
  <r>
    <s v="Gentry, Mildred"/>
    <n v="10159"/>
    <x v="0"/>
    <x v="101"/>
    <x v="1"/>
    <x v="1"/>
    <x v="0"/>
    <x v="1"/>
    <x v="1"/>
    <x v="0"/>
    <x v="0"/>
    <x v="0"/>
    <s v="Production       "/>
    <x v="0"/>
    <n v="22"/>
    <x v="0"/>
    <x v="1"/>
    <n v="3.73"/>
    <x v="1"/>
    <s v="Fair"/>
    <x v="61"/>
    <n v="19"/>
  </r>
  <r>
    <s v="Gerke, Melisa"/>
    <n v="10122"/>
    <x v="0"/>
    <x v="102"/>
    <x v="1"/>
    <x v="2"/>
    <x v="0"/>
    <x v="1"/>
    <x v="44"/>
    <x v="28"/>
    <x v="2"/>
    <x v="1"/>
    <s v="Production       "/>
    <x v="3"/>
    <n v="16"/>
    <x v="4"/>
    <x v="1"/>
    <n v="4.24"/>
    <x v="2"/>
    <s v="Good"/>
    <x v="62"/>
    <n v="2"/>
  </r>
  <r>
    <s v="Gill, Whitney  "/>
    <n v="10142"/>
    <x v="11"/>
    <x v="103"/>
    <x v="1"/>
    <x v="3"/>
    <x v="0"/>
    <x v="1"/>
    <x v="17"/>
    <x v="29"/>
    <x v="6"/>
    <x v="2"/>
    <s v="Sales"/>
    <x v="14"/>
    <n v="17"/>
    <x v="6"/>
    <x v="1"/>
    <n v="3.97"/>
    <x v="2"/>
    <s v="Good"/>
    <x v="63"/>
    <n v="7"/>
  </r>
  <r>
    <s v="Gilles, Alex"/>
    <n v="10283"/>
    <x v="0"/>
    <x v="104"/>
    <x v="0"/>
    <x v="1"/>
    <x v="0"/>
    <x v="1"/>
    <x v="11"/>
    <x v="30"/>
    <x v="12"/>
    <x v="1"/>
    <s v="Production       "/>
    <x v="4"/>
    <n v="39"/>
    <x v="4"/>
    <x v="2"/>
    <n v="3.97"/>
    <x v="2"/>
    <s v="Good"/>
    <x v="64"/>
    <n v="15"/>
  </r>
  <r>
    <s v="Girifalco, Evelyn"/>
    <n v="10018"/>
    <x v="0"/>
    <x v="105"/>
    <x v="1"/>
    <x v="0"/>
    <x v="0"/>
    <x v="2"/>
    <x v="23"/>
    <x v="0"/>
    <x v="0"/>
    <x v="0"/>
    <s v="Production       "/>
    <x v="5"/>
    <n v="11"/>
    <x v="1"/>
    <x v="0"/>
    <n v="3.9"/>
    <x v="2"/>
    <s v="Good"/>
    <x v="65"/>
    <n v="3"/>
  </r>
  <r>
    <s v="Givens, Myriam"/>
    <n v="10255"/>
    <x v="11"/>
    <x v="106"/>
    <x v="1"/>
    <x v="0"/>
    <x v="0"/>
    <x v="0"/>
    <x v="21"/>
    <x v="0"/>
    <x v="0"/>
    <x v="0"/>
    <s v="Sales"/>
    <x v="16"/>
    <n v="21"/>
    <x v="1"/>
    <x v="1"/>
    <n v="4.5"/>
    <x v="0"/>
    <s v="Very Good"/>
    <x v="8"/>
    <n v="20"/>
  </r>
  <r>
    <s v="Goble, Taisha"/>
    <n v="10246"/>
    <x v="6"/>
    <x v="107"/>
    <x v="1"/>
    <x v="0"/>
    <x v="0"/>
    <x v="0"/>
    <x v="21"/>
    <x v="31"/>
    <x v="13"/>
    <x v="2"/>
    <s v="IT/IS"/>
    <x v="1"/>
    <n v="4"/>
    <x v="1"/>
    <x v="1"/>
    <n v="4.5999999999999996"/>
    <x v="2"/>
    <s v="Good"/>
    <x v="64"/>
    <n v="10"/>
  </r>
  <r>
    <s v="Goeth, Amon"/>
    <n v="10228"/>
    <x v="4"/>
    <x v="108"/>
    <x v="0"/>
    <x v="1"/>
    <x v="0"/>
    <x v="0"/>
    <x v="1"/>
    <x v="0"/>
    <x v="0"/>
    <x v="0"/>
    <s v="IT/IS"/>
    <x v="9"/>
    <n v="7"/>
    <x v="0"/>
    <x v="1"/>
    <n v="4.3"/>
    <x v="0"/>
    <s v="Very Good"/>
    <x v="18"/>
    <n v="20"/>
  </r>
  <r>
    <s v="Gold, Shenice  "/>
    <n v="10243"/>
    <x v="0"/>
    <x v="109"/>
    <x v="1"/>
    <x v="0"/>
    <x v="0"/>
    <x v="0"/>
    <x v="24"/>
    <x v="0"/>
    <x v="0"/>
    <x v="0"/>
    <s v="Production       "/>
    <x v="7"/>
    <n v="19"/>
    <x v="1"/>
    <x v="1"/>
    <n v="4.3"/>
    <x v="0"/>
    <s v="Very Good"/>
    <x v="9"/>
    <n v="7"/>
  </r>
  <r>
    <s v="Gonzalez, Cayo"/>
    <n v="10031"/>
    <x v="0"/>
    <x v="110"/>
    <x v="0"/>
    <x v="2"/>
    <x v="0"/>
    <x v="1"/>
    <x v="4"/>
    <x v="0"/>
    <x v="0"/>
    <x v="0"/>
    <s v="Production       "/>
    <x v="8"/>
    <n v="12"/>
    <x v="4"/>
    <x v="0"/>
    <n v="4.5"/>
    <x v="2"/>
    <s v="Good"/>
    <x v="9"/>
    <n v="1"/>
  </r>
  <r>
    <s v="Gonzalez, Juan"/>
    <n v="10300"/>
    <x v="2"/>
    <x v="111"/>
    <x v="0"/>
    <x v="1"/>
    <x v="0"/>
    <x v="1"/>
    <x v="50"/>
    <x v="32"/>
    <x v="1"/>
    <x v="1"/>
    <s v="Production       "/>
    <x v="8"/>
    <n v="12"/>
    <x v="4"/>
    <x v="3"/>
    <n v="3"/>
    <x v="1"/>
    <s v="Fair"/>
    <x v="66"/>
    <n v="10"/>
  </r>
  <r>
    <s v="Gonzalez, Maria"/>
    <n v="10101"/>
    <x v="4"/>
    <x v="112"/>
    <x v="1"/>
    <x v="4"/>
    <x v="0"/>
    <x v="0"/>
    <x v="9"/>
    <x v="0"/>
    <x v="0"/>
    <x v="0"/>
    <s v="IT/IS"/>
    <x v="9"/>
    <n v="7"/>
    <x v="3"/>
    <x v="1"/>
    <n v="4.6100000000000003"/>
    <x v="2"/>
    <s v="Good"/>
    <x v="41"/>
    <n v="11"/>
  </r>
  <r>
    <s v="Good, Susan"/>
    <n v="10237"/>
    <x v="2"/>
    <x v="113"/>
    <x v="1"/>
    <x v="1"/>
    <x v="0"/>
    <x v="0"/>
    <x v="32"/>
    <x v="0"/>
    <x v="0"/>
    <x v="0"/>
    <s v="Production       "/>
    <x v="10"/>
    <n v="14"/>
    <x v="0"/>
    <x v="1"/>
    <n v="4.5999999999999996"/>
    <x v="1"/>
    <s v="Fair"/>
    <x v="65"/>
    <n v="20"/>
  </r>
  <r>
    <s v="Gordon, David"/>
    <n v="10051"/>
    <x v="0"/>
    <x v="114"/>
    <x v="0"/>
    <x v="1"/>
    <x v="0"/>
    <x v="0"/>
    <x v="43"/>
    <x v="0"/>
    <x v="0"/>
    <x v="0"/>
    <s v="Production       "/>
    <x v="10"/>
    <n v="14"/>
    <x v="0"/>
    <x v="1"/>
    <n v="5"/>
    <x v="1"/>
    <s v="Fair"/>
    <x v="15"/>
    <n v="2"/>
  </r>
  <r>
    <s v="Gosciminski, Phylicia  "/>
    <n v="10218"/>
    <x v="2"/>
    <x v="115"/>
    <x v="1"/>
    <x v="4"/>
    <x v="0"/>
    <x v="4"/>
    <x v="7"/>
    <x v="0"/>
    <x v="0"/>
    <x v="0"/>
    <s v="Production       "/>
    <x v="2"/>
    <n v="20"/>
    <x v="2"/>
    <x v="1"/>
    <n v="4.4000000000000004"/>
    <x v="0"/>
    <s v="Very Good"/>
    <x v="28"/>
    <n v="1"/>
  </r>
  <r>
    <s v="Goyal, Roxana"/>
    <n v="10256"/>
    <x v="0"/>
    <x v="116"/>
    <x v="1"/>
    <x v="1"/>
    <x v="0"/>
    <x v="3"/>
    <x v="19"/>
    <x v="0"/>
    <x v="0"/>
    <x v="0"/>
    <s v="Production       "/>
    <x v="2"/>
    <n v="20"/>
    <x v="0"/>
    <x v="1"/>
    <n v="4.0999999999999996"/>
    <x v="0"/>
    <s v="Very Good"/>
    <x v="67"/>
    <n v="3"/>
  </r>
  <r>
    <s v="Gray, Elijiah  "/>
    <n v="10098"/>
    <x v="9"/>
    <x v="117"/>
    <x v="0"/>
    <x v="2"/>
    <x v="0"/>
    <x v="0"/>
    <x v="56"/>
    <x v="0"/>
    <x v="0"/>
    <x v="0"/>
    <s v="Production       "/>
    <x v="13"/>
    <n v="2"/>
    <x v="3"/>
    <x v="1"/>
    <n v="4.63"/>
    <x v="1"/>
    <s v="Fair"/>
    <x v="49"/>
    <n v="2"/>
  </r>
  <r>
    <s v="Gross, Paula"/>
    <n v="10059"/>
    <x v="0"/>
    <x v="118"/>
    <x v="1"/>
    <x v="2"/>
    <x v="0"/>
    <x v="0"/>
    <x v="14"/>
    <x v="33"/>
    <x v="11"/>
    <x v="1"/>
    <s v="Production       "/>
    <x v="11"/>
    <n v="18"/>
    <x v="6"/>
    <x v="1"/>
    <n v="5"/>
    <x v="0"/>
    <s v="Very Good"/>
    <x v="68"/>
    <n v="17"/>
  </r>
  <r>
    <s v="Gruber, Hans"/>
    <n v="10234"/>
    <x v="17"/>
    <x v="119"/>
    <x v="0"/>
    <x v="1"/>
    <x v="0"/>
    <x v="1"/>
    <x v="57"/>
    <x v="0"/>
    <x v="0"/>
    <x v="0"/>
    <s v="IT/IS"/>
    <x v="19"/>
    <n v="13"/>
    <x v="1"/>
    <x v="1"/>
    <n v="4.2"/>
    <x v="0"/>
    <s v="Very Good"/>
    <x v="41"/>
    <n v="8"/>
  </r>
  <r>
    <s v="Guilianno, Mike"/>
    <n v="10109"/>
    <x v="11"/>
    <x v="120"/>
    <x v="0"/>
    <x v="0"/>
    <x v="0"/>
    <x v="2"/>
    <x v="58"/>
    <x v="34"/>
    <x v="10"/>
    <x v="1"/>
    <s v="Sales"/>
    <x v="14"/>
    <n v="17"/>
    <x v="0"/>
    <x v="1"/>
    <n v="4.5"/>
    <x v="0"/>
    <s v="Very Good"/>
    <x v="69"/>
    <n v="20"/>
  </r>
  <r>
    <s v="Handschiegl, Joanne"/>
    <n v="10125"/>
    <x v="0"/>
    <x v="121"/>
    <x v="1"/>
    <x v="1"/>
    <x v="0"/>
    <x v="0"/>
    <x v="59"/>
    <x v="0"/>
    <x v="0"/>
    <x v="0"/>
    <s v="Production       "/>
    <x v="0"/>
    <n v="22"/>
    <x v="2"/>
    <x v="1"/>
    <n v="4.2"/>
    <x v="2"/>
    <s v="Good"/>
    <x v="29"/>
    <n v="13"/>
  </r>
  <r>
    <s v="Hankard, Earnest"/>
    <n v="10074"/>
    <x v="2"/>
    <x v="122"/>
    <x v="0"/>
    <x v="0"/>
    <x v="0"/>
    <x v="0"/>
    <x v="24"/>
    <x v="0"/>
    <x v="0"/>
    <x v="0"/>
    <s v="Production       "/>
    <x v="11"/>
    <n v="18"/>
    <x v="0"/>
    <x v="1"/>
    <n v="5"/>
    <x v="1"/>
    <s v="Fair"/>
    <x v="70"/>
    <n v="20"/>
  </r>
  <r>
    <s v="Harrington, Christie "/>
    <n v="10097"/>
    <x v="0"/>
    <x v="123"/>
    <x v="1"/>
    <x v="0"/>
    <x v="0"/>
    <x v="0"/>
    <x v="5"/>
    <x v="35"/>
    <x v="9"/>
    <x v="1"/>
    <s v="Production       "/>
    <x v="4"/>
    <n v="39"/>
    <x v="6"/>
    <x v="1"/>
    <n v="4.6399999999999997"/>
    <x v="2"/>
    <s v="Good"/>
    <x v="71"/>
    <n v="8"/>
  </r>
  <r>
    <s v="Harrison, Kara"/>
    <n v="10007"/>
    <x v="0"/>
    <x v="124"/>
    <x v="1"/>
    <x v="1"/>
    <x v="0"/>
    <x v="0"/>
    <x v="32"/>
    <x v="0"/>
    <x v="0"/>
    <x v="0"/>
    <s v="Production       "/>
    <x v="5"/>
    <n v="11"/>
    <x v="6"/>
    <x v="0"/>
    <n v="4.76"/>
    <x v="2"/>
    <s v="Good"/>
    <x v="67"/>
    <n v="5"/>
  </r>
  <r>
    <s v="Heitzman, Anthony"/>
    <n v="10129"/>
    <x v="0"/>
    <x v="125"/>
    <x v="0"/>
    <x v="0"/>
    <x v="0"/>
    <x v="0"/>
    <x v="60"/>
    <x v="0"/>
    <x v="0"/>
    <x v="0"/>
    <s v="Production       "/>
    <x v="7"/>
    <n v="19"/>
    <x v="2"/>
    <x v="1"/>
    <n v="4.17"/>
    <x v="2"/>
    <s v="Good"/>
    <x v="72"/>
    <n v="1"/>
  </r>
  <r>
    <s v="Hendrickson, Trina"/>
    <n v="10075"/>
    <x v="2"/>
    <x v="126"/>
    <x v="1"/>
    <x v="0"/>
    <x v="0"/>
    <x v="0"/>
    <x v="10"/>
    <x v="36"/>
    <x v="2"/>
    <x v="1"/>
    <s v="Production       "/>
    <x v="11"/>
    <n v="18"/>
    <x v="6"/>
    <x v="1"/>
    <n v="5"/>
    <x v="1"/>
    <s v="Fair"/>
    <x v="73"/>
    <n v="15"/>
  </r>
  <r>
    <s v="Hitchcock, Alfred"/>
    <n v="10167"/>
    <x v="11"/>
    <x v="127"/>
    <x v="0"/>
    <x v="1"/>
    <x v="0"/>
    <x v="4"/>
    <x v="30"/>
    <x v="0"/>
    <x v="0"/>
    <x v="0"/>
    <s v="Sales"/>
    <x v="14"/>
    <n v="17"/>
    <x v="1"/>
    <x v="1"/>
    <n v="3.6"/>
    <x v="0"/>
    <s v="Very Good"/>
    <x v="30"/>
    <n v="9"/>
  </r>
  <r>
    <s v="Homberger, Adrienne  J"/>
    <n v="10195"/>
    <x v="2"/>
    <x v="128"/>
    <x v="1"/>
    <x v="1"/>
    <x v="2"/>
    <x v="0"/>
    <x v="25"/>
    <x v="37"/>
    <x v="10"/>
    <x v="1"/>
    <s v="Production       "/>
    <x v="0"/>
    <n v="30"/>
    <x v="1"/>
    <x v="1"/>
    <n v="3.03"/>
    <x v="0"/>
    <s v="Very Good"/>
    <x v="74"/>
    <n v="16"/>
  </r>
  <r>
    <s v="Horton, Jayne"/>
    <n v="10112"/>
    <x v="6"/>
    <x v="129"/>
    <x v="1"/>
    <x v="0"/>
    <x v="0"/>
    <x v="0"/>
    <x v="1"/>
    <x v="0"/>
    <x v="0"/>
    <x v="0"/>
    <s v="IT/IS"/>
    <x v="1"/>
    <n v="4"/>
    <x v="1"/>
    <x v="1"/>
    <n v="4.4800000000000004"/>
    <x v="0"/>
    <s v="Very Good"/>
    <x v="3"/>
    <n v="4"/>
  </r>
  <r>
    <s v="Houlihan, Debra"/>
    <n v="10272"/>
    <x v="21"/>
    <x v="130"/>
    <x v="1"/>
    <x v="1"/>
    <x v="0"/>
    <x v="0"/>
    <x v="42"/>
    <x v="0"/>
    <x v="0"/>
    <x v="0"/>
    <s v="Sales"/>
    <x v="13"/>
    <n v="2"/>
    <x v="0"/>
    <x v="1"/>
    <n v="4.5"/>
    <x v="2"/>
    <s v="Good"/>
    <x v="26"/>
    <n v="19"/>
  </r>
  <r>
    <s v="Howard, Estelle"/>
    <n v="10182"/>
    <x v="22"/>
    <x v="131"/>
    <x v="1"/>
    <x v="1"/>
    <x v="0"/>
    <x v="1"/>
    <x v="21"/>
    <x v="38"/>
    <x v="13"/>
    <x v="2"/>
    <s v="Admin Offices"/>
    <x v="12"/>
    <n v="1"/>
    <x v="1"/>
    <x v="1"/>
    <n v="3.24"/>
    <x v="1"/>
    <s v="Fair"/>
    <x v="75"/>
    <n v="6"/>
  </r>
  <r>
    <s v="Hudson, Jane"/>
    <n v="10248"/>
    <x v="0"/>
    <x v="132"/>
    <x v="1"/>
    <x v="0"/>
    <x v="0"/>
    <x v="0"/>
    <x v="12"/>
    <x v="0"/>
    <x v="0"/>
    <x v="0"/>
    <s v="Production       "/>
    <x v="7"/>
    <n v="19"/>
    <x v="0"/>
    <x v="1"/>
    <n v="4.8"/>
    <x v="2"/>
    <s v="Good"/>
    <x v="5"/>
    <n v="4"/>
  </r>
  <r>
    <s v="Hunts, Julissa"/>
    <n v="10201"/>
    <x v="2"/>
    <x v="133"/>
    <x v="1"/>
    <x v="0"/>
    <x v="0"/>
    <x v="0"/>
    <x v="61"/>
    <x v="0"/>
    <x v="0"/>
    <x v="0"/>
    <s v="Production       "/>
    <x v="3"/>
    <n v="16"/>
    <x v="0"/>
    <x v="1"/>
    <n v="3"/>
    <x v="0"/>
    <s v="Very Good"/>
    <x v="48"/>
    <n v="4"/>
  </r>
  <r>
    <s v="Hutter, Rosalie"/>
    <n v="10214"/>
    <x v="2"/>
    <x v="134"/>
    <x v="1"/>
    <x v="4"/>
    <x v="0"/>
    <x v="0"/>
    <x v="62"/>
    <x v="0"/>
    <x v="0"/>
    <x v="0"/>
    <s v="Production       "/>
    <x v="4"/>
    <m/>
    <x v="1"/>
    <x v="1"/>
    <n v="4.5"/>
    <x v="1"/>
    <s v="Fair"/>
    <x v="12"/>
    <n v="6"/>
  </r>
  <r>
    <s v="Huynh, Ming"/>
    <n v="10160"/>
    <x v="2"/>
    <x v="135"/>
    <x v="1"/>
    <x v="2"/>
    <x v="0"/>
    <x v="0"/>
    <x v="14"/>
    <x v="39"/>
    <x v="5"/>
    <x v="1"/>
    <s v="Production       "/>
    <x v="5"/>
    <n v="11"/>
    <x v="2"/>
    <x v="1"/>
    <n v="3.72"/>
    <x v="1"/>
    <s v="Fair"/>
    <x v="69"/>
    <n v="18"/>
  </r>
  <r>
    <s v="Immediato, Walter"/>
    <n v="10289"/>
    <x v="9"/>
    <x v="136"/>
    <x v="0"/>
    <x v="1"/>
    <x v="0"/>
    <x v="3"/>
    <x v="14"/>
    <x v="2"/>
    <x v="5"/>
    <x v="1"/>
    <s v="Production       "/>
    <x v="13"/>
    <n v="2"/>
    <x v="1"/>
    <x v="2"/>
    <n v="2.34"/>
    <x v="3"/>
    <s v="Poor"/>
    <x v="76"/>
    <n v="4"/>
  </r>
  <r>
    <s v="Ivey, Rose "/>
    <n v="10139"/>
    <x v="0"/>
    <x v="137"/>
    <x v="1"/>
    <x v="0"/>
    <x v="0"/>
    <x v="0"/>
    <x v="19"/>
    <x v="0"/>
    <x v="0"/>
    <x v="0"/>
    <s v="Production       "/>
    <x v="8"/>
    <n v="12"/>
    <x v="1"/>
    <x v="1"/>
    <n v="3.99"/>
    <x v="1"/>
    <s v="Fair"/>
    <x v="15"/>
    <n v="14"/>
  </r>
  <r>
    <s v="Jackson, Maryellen"/>
    <n v="10227"/>
    <x v="0"/>
    <x v="138"/>
    <x v="1"/>
    <x v="0"/>
    <x v="0"/>
    <x v="1"/>
    <x v="63"/>
    <x v="0"/>
    <x v="0"/>
    <x v="0"/>
    <s v="Production       "/>
    <x v="10"/>
    <n v="14"/>
    <x v="0"/>
    <x v="1"/>
    <n v="4.0999999999999996"/>
    <x v="1"/>
    <s v="Fair"/>
    <x v="0"/>
    <n v="7"/>
  </r>
  <r>
    <s v="Jacobi, Hannah  "/>
    <n v="10236"/>
    <x v="0"/>
    <x v="139"/>
    <x v="1"/>
    <x v="2"/>
    <x v="0"/>
    <x v="0"/>
    <x v="7"/>
    <x v="0"/>
    <x v="0"/>
    <x v="0"/>
    <s v="Production       "/>
    <x v="2"/>
    <n v="20"/>
    <x v="3"/>
    <x v="1"/>
    <n v="4.3"/>
    <x v="0"/>
    <s v="Very Good"/>
    <x v="29"/>
    <n v="7"/>
  </r>
  <r>
    <s v="Jeannite, Tayana"/>
    <n v="10009"/>
    <x v="2"/>
    <x v="140"/>
    <x v="1"/>
    <x v="2"/>
    <x v="0"/>
    <x v="4"/>
    <x v="2"/>
    <x v="0"/>
    <x v="0"/>
    <x v="0"/>
    <s v="Production       "/>
    <x v="7"/>
    <n v="19"/>
    <x v="0"/>
    <x v="0"/>
    <n v="4.5999999999999996"/>
    <x v="2"/>
    <s v="Good"/>
    <x v="7"/>
    <n v="11"/>
  </r>
  <r>
    <s v="Jhaveri, Sneha  "/>
    <n v="10060"/>
    <x v="0"/>
    <x v="141"/>
    <x v="1"/>
    <x v="4"/>
    <x v="0"/>
    <x v="0"/>
    <x v="64"/>
    <x v="0"/>
    <x v="0"/>
    <x v="0"/>
    <s v="Production       "/>
    <x v="11"/>
    <n v="18"/>
    <x v="0"/>
    <x v="1"/>
    <n v="5"/>
    <x v="0"/>
    <s v="Very Good"/>
    <x v="26"/>
    <n v="9"/>
  </r>
  <r>
    <s v="Johnson, George"/>
    <n v="10034"/>
    <x v="0"/>
    <x v="142"/>
    <x v="0"/>
    <x v="1"/>
    <x v="0"/>
    <x v="0"/>
    <x v="44"/>
    <x v="40"/>
    <x v="11"/>
    <x v="1"/>
    <s v="Production       "/>
    <x v="0"/>
    <n v="22"/>
    <x v="6"/>
    <x v="0"/>
    <n v="4.7"/>
    <x v="2"/>
    <s v="Good"/>
    <x v="77"/>
    <n v="9"/>
  </r>
  <r>
    <s v="Johnson, Noelle "/>
    <n v="10156"/>
    <x v="6"/>
    <x v="143"/>
    <x v="1"/>
    <x v="1"/>
    <x v="0"/>
    <x v="3"/>
    <x v="9"/>
    <x v="0"/>
    <x v="0"/>
    <x v="0"/>
    <s v="IT/IS"/>
    <x v="1"/>
    <n v="4"/>
    <x v="1"/>
    <x v="1"/>
    <n v="3.75"/>
    <x v="1"/>
    <s v="Fair"/>
    <x v="72"/>
    <n v="2"/>
  </r>
  <r>
    <s v="Johnston, Yen"/>
    <n v="10036"/>
    <x v="2"/>
    <x v="144"/>
    <x v="1"/>
    <x v="0"/>
    <x v="0"/>
    <x v="0"/>
    <x v="17"/>
    <x v="0"/>
    <x v="0"/>
    <x v="0"/>
    <s v="Production       "/>
    <x v="8"/>
    <n v="12"/>
    <x v="0"/>
    <x v="0"/>
    <n v="4.3"/>
    <x v="1"/>
    <s v="Fair"/>
    <x v="17"/>
    <n v="1"/>
  </r>
  <r>
    <s v="Jung, Judy  "/>
    <n v="10138"/>
    <x v="0"/>
    <x v="145"/>
    <x v="1"/>
    <x v="1"/>
    <x v="0"/>
    <x v="1"/>
    <x v="10"/>
    <x v="41"/>
    <x v="5"/>
    <x v="1"/>
    <s v="Production       "/>
    <x v="3"/>
    <n v="16"/>
    <x v="6"/>
    <x v="1"/>
    <n v="4"/>
    <x v="2"/>
    <s v="Good"/>
    <x v="78"/>
    <n v="4"/>
  </r>
  <r>
    <s v="Kampew, Donysha"/>
    <n v="10244"/>
    <x v="16"/>
    <x v="146"/>
    <x v="1"/>
    <x v="0"/>
    <x v="0"/>
    <x v="0"/>
    <x v="44"/>
    <x v="42"/>
    <x v="15"/>
    <x v="1"/>
    <s v="Sales"/>
    <x v="18"/>
    <n v="15"/>
    <x v="2"/>
    <x v="1"/>
    <n v="4.5"/>
    <x v="0"/>
    <s v="Very Good"/>
    <x v="79"/>
    <n v="2"/>
  </r>
  <r>
    <s v="Keatts, Kramer "/>
    <n v="10192"/>
    <x v="0"/>
    <x v="147"/>
    <x v="0"/>
    <x v="0"/>
    <x v="0"/>
    <x v="0"/>
    <x v="7"/>
    <x v="0"/>
    <x v="0"/>
    <x v="0"/>
    <s v="Production       "/>
    <x v="0"/>
    <n v="22"/>
    <x v="1"/>
    <x v="1"/>
    <n v="3.07"/>
    <x v="2"/>
    <s v="Good"/>
    <x v="46"/>
    <n v="10"/>
  </r>
  <r>
    <s v="Khemmich, Bartholemew"/>
    <n v="10231"/>
    <x v="11"/>
    <x v="148"/>
    <x v="0"/>
    <x v="0"/>
    <x v="0"/>
    <x v="0"/>
    <x v="19"/>
    <x v="0"/>
    <x v="0"/>
    <x v="0"/>
    <s v="Sales"/>
    <x v="16"/>
    <n v="21"/>
    <x v="1"/>
    <x v="1"/>
    <n v="4.3"/>
    <x v="0"/>
    <s v="Very Good"/>
    <x v="40"/>
    <n v="13"/>
  </r>
  <r>
    <s v="King, Janet"/>
    <n v="10089"/>
    <x v="23"/>
    <x v="149"/>
    <x v="1"/>
    <x v="1"/>
    <x v="0"/>
    <x v="0"/>
    <x v="43"/>
    <x v="0"/>
    <x v="0"/>
    <x v="0"/>
    <s v="Executive Office"/>
    <x v="20"/>
    <n v="9"/>
    <x v="1"/>
    <x v="1"/>
    <n v="4.83"/>
    <x v="1"/>
    <s v="Fair"/>
    <x v="0"/>
    <n v="10"/>
  </r>
  <r>
    <s v="Kinsella, Kathleen  "/>
    <n v="10166"/>
    <x v="0"/>
    <x v="150"/>
    <x v="1"/>
    <x v="1"/>
    <x v="0"/>
    <x v="0"/>
    <x v="65"/>
    <x v="43"/>
    <x v="11"/>
    <x v="1"/>
    <s v="Production       "/>
    <x v="4"/>
    <n v="39"/>
    <x v="2"/>
    <x v="1"/>
    <n v="3.6"/>
    <x v="0"/>
    <s v="Very Good"/>
    <x v="80"/>
    <n v="16"/>
  </r>
  <r>
    <s v="Kirill, Alexandra  "/>
    <n v="10170"/>
    <x v="0"/>
    <x v="151"/>
    <x v="1"/>
    <x v="1"/>
    <x v="0"/>
    <x v="0"/>
    <x v="65"/>
    <x v="44"/>
    <x v="11"/>
    <x v="1"/>
    <s v="Production       "/>
    <x v="5"/>
    <n v="11"/>
    <x v="2"/>
    <x v="1"/>
    <n v="3.49"/>
    <x v="2"/>
    <s v="Good"/>
    <x v="73"/>
    <n v="6"/>
  </r>
  <r>
    <s v="Knapp, Bradley  J"/>
    <n v="10208"/>
    <x v="0"/>
    <x v="152"/>
    <x v="0"/>
    <x v="0"/>
    <x v="0"/>
    <x v="1"/>
    <x v="20"/>
    <x v="0"/>
    <x v="0"/>
    <x v="0"/>
    <s v="Production       "/>
    <x v="7"/>
    <n v="19"/>
    <x v="0"/>
    <x v="1"/>
    <n v="3.1"/>
    <x v="1"/>
    <s v="Fair"/>
    <x v="81"/>
    <n v="3"/>
  </r>
  <r>
    <s v="Kretschmer, John"/>
    <n v="10176"/>
    <x v="0"/>
    <x v="153"/>
    <x v="0"/>
    <x v="1"/>
    <x v="0"/>
    <x v="3"/>
    <x v="10"/>
    <x v="0"/>
    <x v="0"/>
    <x v="0"/>
    <s v="Production       "/>
    <x v="8"/>
    <n v="12"/>
    <x v="1"/>
    <x v="1"/>
    <n v="3.38"/>
    <x v="1"/>
    <s v="Fair"/>
    <x v="26"/>
    <n v="17"/>
  </r>
  <r>
    <s v="Kreuger, Freddy"/>
    <n v="10165"/>
    <x v="11"/>
    <x v="154"/>
    <x v="0"/>
    <x v="0"/>
    <x v="0"/>
    <x v="1"/>
    <x v="66"/>
    <x v="0"/>
    <x v="0"/>
    <x v="0"/>
    <s v="Sales"/>
    <x v="14"/>
    <n v="17"/>
    <x v="4"/>
    <x v="1"/>
    <n v="3.65"/>
    <x v="0"/>
    <s v="Very Good"/>
    <x v="0"/>
    <n v="20"/>
  </r>
  <r>
    <s v="Lajiri,  Jyoti"/>
    <n v="10113"/>
    <x v="15"/>
    <x v="155"/>
    <x v="0"/>
    <x v="1"/>
    <x v="0"/>
    <x v="0"/>
    <x v="6"/>
    <x v="0"/>
    <x v="0"/>
    <x v="0"/>
    <s v="IT/IS"/>
    <x v="9"/>
    <n v="7"/>
    <x v="3"/>
    <x v="1"/>
    <n v="4.46"/>
    <x v="0"/>
    <s v="Very Good"/>
    <x v="5"/>
    <n v="7"/>
  </r>
  <r>
    <s v="Landa, Hans"/>
    <n v="10092"/>
    <x v="9"/>
    <x v="156"/>
    <x v="0"/>
    <x v="1"/>
    <x v="0"/>
    <x v="0"/>
    <x v="10"/>
    <x v="45"/>
    <x v="6"/>
    <x v="2"/>
    <s v="Production       "/>
    <x v="13"/>
    <n v="2"/>
    <x v="3"/>
    <x v="1"/>
    <n v="4.78"/>
    <x v="2"/>
    <s v="Good"/>
    <x v="82"/>
    <n v="9"/>
  </r>
  <r>
    <s v="Langford, Lindsey"/>
    <n v="10106"/>
    <x v="2"/>
    <x v="157"/>
    <x v="1"/>
    <x v="2"/>
    <x v="0"/>
    <x v="3"/>
    <x v="47"/>
    <x v="46"/>
    <x v="4"/>
    <x v="1"/>
    <s v="Production       "/>
    <x v="10"/>
    <n v="14"/>
    <x v="1"/>
    <x v="1"/>
    <n v="4.5199999999999996"/>
    <x v="1"/>
    <s v="Fair"/>
    <x v="22"/>
    <n v="20"/>
  </r>
  <r>
    <s v="Langton, Enrico"/>
    <n v="10052"/>
    <x v="0"/>
    <x v="158"/>
    <x v="0"/>
    <x v="1"/>
    <x v="0"/>
    <x v="0"/>
    <x v="67"/>
    <x v="0"/>
    <x v="0"/>
    <x v="0"/>
    <s v="Production       "/>
    <x v="10"/>
    <n v="14"/>
    <x v="0"/>
    <x v="1"/>
    <n v="5"/>
    <x v="0"/>
    <s v="Very Good"/>
    <x v="39"/>
    <n v="13"/>
  </r>
  <r>
    <s v="LaRotonda, William  "/>
    <n v="10038"/>
    <x v="10"/>
    <x v="159"/>
    <x v="0"/>
    <x v="2"/>
    <x v="0"/>
    <x v="1"/>
    <x v="64"/>
    <x v="0"/>
    <x v="0"/>
    <x v="0"/>
    <s v="Admin Offices"/>
    <x v="12"/>
    <n v="1"/>
    <x v="7"/>
    <x v="1"/>
    <n v="5"/>
    <x v="2"/>
    <s v="Good"/>
    <x v="0"/>
    <n v="3"/>
  </r>
  <r>
    <s v="Latif, Mohammed"/>
    <n v="10249"/>
    <x v="2"/>
    <x v="160"/>
    <x v="0"/>
    <x v="1"/>
    <x v="0"/>
    <x v="0"/>
    <x v="11"/>
    <x v="47"/>
    <x v="11"/>
    <x v="1"/>
    <s v="Production       "/>
    <x v="2"/>
    <n v="20"/>
    <x v="2"/>
    <x v="1"/>
    <n v="4.9000000000000004"/>
    <x v="1"/>
    <s v="Fair"/>
    <x v="83"/>
    <n v="20"/>
  </r>
  <r>
    <s v="Le, Binh"/>
    <n v="10232"/>
    <x v="24"/>
    <x v="161"/>
    <x v="1"/>
    <x v="0"/>
    <x v="0"/>
    <x v="3"/>
    <x v="68"/>
    <x v="0"/>
    <x v="0"/>
    <x v="0"/>
    <s v="IT/IS"/>
    <x v="19"/>
    <n v="13"/>
    <x v="1"/>
    <x v="1"/>
    <n v="4.0999999999999996"/>
    <x v="0"/>
    <s v="Very Good"/>
    <x v="70"/>
    <n v="2"/>
  </r>
  <r>
    <s v="Leach, Dallas"/>
    <n v="10087"/>
    <x v="0"/>
    <x v="162"/>
    <x v="1"/>
    <x v="0"/>
    <x v="0"/>
    <x v="3"/>
    <x v="65"/>
    <x v="27"/>
    <x v="3"/>
    <x v="1"/>
    <s v="Production       "/>
    <x v="2"/>
    <n v="20"/>
    <x v="6"/>
    <x v="1"/>
    <n v="4.88"/>
    <x v="1"/>
    <s v="Fair"/>
    <x v="84"/>
    <n v="17"/>
  </r>
  <r>
    <s v="LeBlanc, Brandon  R"/>
    <n v="10134"/>
    <x v="25"/>
    <x v="163"/>
    <x v="0"/>
    <x v="1"/>
    <x v="0"/>
    <x v="0"/>
    <x v="69"/>
    <x v="0"/>
    <x v="0"/>
    <x v="0"/>
    <s v="Admin Offices"/>
    <x v="13"/>
    <n v="2"/>
    <x v="6"/>
    <x v="1"/>
    <n v="4.0999999999999996"/>
    <x v="2"/>
    <s v="Good"/>
    <x v="41"/>
    <n v="20"/>
  </r>
  <r>
    <s v="Lecter, Hannibal"/>
    <n v="10251"/>
    <x v="0"/>
    <x v="164"/>
    <x v="0"/>
    <x v="1"/>
    <x v="0"/>
    <x v="3"/>
    <x v="33"/>
    <x v="0"/>
    <x v="0"/>
    <x v="0"/>
    <s v="Production       "/>
    <x v="3"/>
    <n v="16"/>
    <x v="2"/>
    <x v="1"/>
    <n v="4.0999999999999996"/>
    <x v="1"/>
    <s v="Fair"/>
    <x v="29"/>
    <n v="10"/>
  </r>
  <r>
    <s v="Leruth, Giovanni"/>
    <n v="10103"/>
    <x v="11"/>
    <x v="165"/>
    <x v="0"/>
    <x v="4"/>
    <x v="0"/>
    <x v="1"/>
    <x v="70"/>
    <x v="0"/>
    <x v="0"/>
    <x v="0"/>
    <s v="Sales"/>
    <x v="14"/>
    <n v="17"/>
    <x v="7"/>
    <x v="1"/>
    <n v="4.53"/>
    <x v="1"/>
    <s v="Fair"/>
    <x v="47"/>
    <n v="16"/>
  </r>
  <r>
    <s v="Liebig, Ketsia"/>
    <n v="10017"/>
    <x v="9"/>
    <x v="166"/>
    <x v="1"/>
    <x v="1"/>
    <x v="0"/>
    <x v="0"/>
    <x v="7"/>
    <x v="0"/>
    <x v="0"/>
    <x v="0"/>
    <s v="Production       "/>
    <x v="13"/>
    <n v="2"/>
    <x v="7"/>
    <x v="0"/>
    <n v="4.0999999999999996"/>
    <x v="1"/>
    <s v="Fair"/>
    <x v="26"/>
    <n v="11"/>
  </r>
  <r>
    <s v="Linares, Marilyn "/>
    <n v="10186"/>
    <x v="0"/>
    <x v="167"/>
    <x v="1"/>
    <x v="1"/>
    <x v="0"/>
    <x v="0"/>
    <x v="2"/>
    <x v="48"/>
    <x v="5"/>
    <x v="1"/>
    <s v="Production       "/>
    <x v="0"/>
    <n v="22"/>
    <x v="1"/>
    <x v="1"/>
    <n v="3.18"/>
    <x v="2"/>
    <s v="Good"/>
    <x v="85"/>
    <n v="16"/>
  </r>
  <r>
    <s v="Linden, Mathew"/>
    <n v="10137"/>
    <x v="2"/>
    <x v="168"/>
    <x v="0"/>
    <x v="1"/>
    <x v="0"/>
    <x v="0"/>
    <x v="18"/>
    <x v="0"/>
    <x v="0"/>
    <x v="0"/>
    <s v="Production       "/>
    <x v="11"/>
    <n v="18"/>
    <x v="0"/>
    <x v="1"/>
    <n v="4"/>
    <x v="1"/>
    <s v="Fair"/>
    <x v="9"/>
    <n v="7"/>
  </r>
  <r>
    <s v="Lindsay, Leonara "/>
    <n v="10008"/>
    <x v="4"/>
    <x v="169"/>
    <x v="1"/>
    <x v="0"/>
    <x v="0"/>
    <x v="1"/>
    <x v="71"/>
    <x v="0"/>
    <x v="0"/>
    <x v="0"/>
    <s v="IT/IS"/>
    <x v="17"/>
    <n v="6"/>
    <x v="4"/>
    <x v="0"/>
    <n v="4.6399999999999997"/>
    <x v="2"/>
    <s v="Good"/>
    <x v="8"/>
    <n v="14"/>
  </r>
  <r>
    <s v="Lundy, Susan"/>
    <n v="10096"/>
    <x v="2"/>
    <x v="170"/>
    <x v="1"/>
    <x v="3"/>
    <x v="0"/>
    <x v="0"/>
    <x v="18"/>
    <x v="49"/>
    <x v="11"/>
    <x v="1"/>
    <s v="Production       "/>
    <x v="0"/>
    <n v="22"/>
    <x v="0"/>
    <x v="1"/>
    <n v="4.6500000000000004"/>
    <x v="2"/>
    <s v="Good"/>
    <x v="86"/>
    <n v="15"/>
  </r>
  <r>
    <s v="Lunquist, Lisa"/>
    <n v="10035"/>
    <x v="2"/>
    <x v="171"/>
    <x v="1"/>
    <x v="0"/>
    <x v="0"/>
    <x v="1"/>
    <x v="19"/>
    <x v="0"/>
    <x v="0"/>
    <x v="0"/>
    <s v="Production       "/>
    <x v="3"/>
    <n v="16"/>
    <x v="1"/>
    <x v="0"/>
    <n v="4.2"/>
    <x v="2"/>
    <s v="Good"/>
    <x v="31"/>
    <n v="19"/>
  </r>
  <r>
    <s v="Lydon, Allison"/>
    <n v="10057"/>
    <x v="0"/>
    <x v="172"/>
    <x v="1"/>
    <x v="1"/>
    <x v="0"/>
    <x v="1"/>
    <x v="21"/>
    <x v="0"/>
    <x v="0"/>
    <x v="0"/>
    <s v="Production       "/>
    <x v="3"/>
    <n v="16"/>
    <x v="7"/>
    <x v="1"/>
    <n v="5"/>
    <x v="1"/>
    <s v="Fair"/>
    <x v="46"/>
    <n v="6"/>
  </r>
  <r>
    <s v="Lynch, Lindsay"/>
    <n v="10004"/>
    <x v="0"/>
    <x v="173"/>
    <x v="1"/>
    <x v="0"/>
    <x v="0"/>
    <x v="1"/>
    <x v="44"/>
    <x v="50"/>
    <x v="4"/>
    <x v="1"/>
    <s v="Production       "/>
    <x v="4"/>
    <n v="39"/>
    <x v="4"/>
    <x v="0"/>
    <n v="5"/>
    <x v="2"/>
    <s v="Good"/>
    <x v="87"/>
    <n v="17"/>
  </r>
  <r>
    <s v="MacLennan, Samuel"/>
    <n v="10191"/>
    <x v="0"/>
    <x v="174"/>
    <x v="0"/>
    <x v="3"/>
    <x v="0"/>
    <x v="0"/>
    <x v="13"/>
    <x v="51"/>
    <x v="2"/>
    <x v="1"/>
    <s v="Production       "/>
    <x v="5"/>
    <n v="11"/>
    <x v="1"/>
    <x v="1"/>
    <n v="3.08"/>
    <x v="2"/>
    <s v="Good"/>
    <x v="88"/>
    <n v="18"/>
  </r>
  <r>
    <s v="Mahoney, Lauren  "/>
    <n v="10219"/>
    <x v="0"/>
    <x v="175"/>
    <x v="1"/>
    <x v="0"/>
    <x v="0"/>
    <x v="0"/>
    <x v="64"/>
    <x v="0"/>
    <x v="0"/>
    <x v="0"/>
    <s v="Production       "/>
    <x v="7"/>
    <n v="19"/>
    <x v="0"/>
    <x v="1"/>
    <n v="4.5999999999999996"/>
    <x v="2"/>
    <s v="Good"/>
    <x v="60"/>
    <n v="14"/>
  </r>
  <r>
    <s v="Manchester, Robyn"/>
    <n v="10077"/>
    <x v="2"/>
    <x v="176"/>
    <x v="1"/>
    <x v="1"/>
    <x v="0"/>
    <x v="0"/>
    <x v="72"/>
    <x v="0"/>
    <x v="0"/>
    <x v="0"/>
    <s v="Production       "/>
    <x v="4"/>
    <m/>
    <x v="0"/>
    <x v="1"/>
    <n v="5"/>
    <x v="1"/>
    <s v="Fair"/>
    <x v="26"/>
    <n v="4"/>
  </r>
  <r>
    <s v="Mancuso, Karen"/>
    <n v="10073"/>
    <x v="2"/>
    <x v="177"/>
    <x v="1"/>
    <x v="1"/>
    <x v="0"/>
    <x v="2"/>
    <x v="2"/>
    <x v="52"/>
    <x v="4"/>
    <x v="1"/>
    <s v="Production       "/>
    <x v="5"/>
    <n v="11"/>
    <x v="0"/>
    <x v="1"/>
    <n v="5"/>
    <x v="2"/>
    <s v="Good"/>
    <x v="89"/>
    <n v="16"/>
  </r>
  <r>
    <s v="Mangal, Debbie"/>
    <n v="10279"/>
    <x v="0"/>
    <x v="178"/>
    <x v="1"/>
    <x v="1"/>
    <x v="0"/>
    <x v="0"/>
    <x v="24"/>
    <x v="0"/>
    <x v="0"/>
    <x v="0"/>
    <s v="Production       "/>
    <x v="8"/>
    <n v="12"/>
    <x v="0"/>
    <x v="1"/>
    <n v="4.0999999999999996"/>
    <x v="1"/>
    <s v="Fair"/>
    <x v="40"/>
    <n v="11"/>
  </r>
  <r>
    <s v="Martin, Sandra"/>
    <n v="10110"/>
    <x v="3"/>
    <x v="179"/>
    <x v="1"/>
    <x v="0"/>
    <x v="0"/>
    <x v="3"/>
    <x v="24"/>
    <x v="0"/>
    <x v="0"/>
    <x v="0"/>
    <s v="Software Engineering"/>
    <x v="6"/>
    <n v="10"/>
    <x v="2"/>
    <x v="1"/>
    <n v="4.5"/>
    <x v="0"/>
    <s v="Very Good"/>
    <x v="15"/>
    <n v="14"/>
  </r>
  <r>
    <s v="Maurice, Shana"/>
    <n v="10053"/>
    <x v="0"/>
    <x v="180"/>
    <x v="1"/>
    <x v="1"/>
    <x v="0"/>
    <x v="0"/>
    <x v="73"/>
    <x v="0"/>
    <x v="0"/>
    <x v="0"/>
    <s v="Production       "/>
    <x v="10"/>
    <n v="14"/>
    <x v="1"/>
    <x v="1"/>
    <n v="5"/>
    <x v="2"/>
    <s v="Good"/>
    <x v="18"/>
    <n v="8"/>
  </r>
  <r>
    <s v="Carthy, B'rigit"/>
    <n v="10076"/>
    <x v="2"/>
    <x v="181"/>
    <x v="1"/>
    <x v="0"/>
    <x v="0"/>
    <x v="1"/>
    <x v="1"/>
    <x v="0"/>
    <x v="0"/>
    <x v="0"/>
    <s v="Production       "/>
    <x v="7"/>
    <n v="19"/>
    <x v="0"/>
    <x v="1"/>
    <n v="5"/>
    <x v="0"/>
    <s v="Very Good"/>
    <x v="65"/>
    <n v="16"/>
  </r>
  <r>
    <s v="Mckenna, Sandy"/>
    <n v="10145"/>
    <x v="0"/>
    <x v="179"/>
    <x v="1"/>
    <x v="1"/>
    <x v="0"/>
    <x v="1"/>
    <x v="47"/>
    <x v="0"/>
    <x v="0"/>
    <x v="0"/>
    <s v="Production       "/>
    <x v="2"/>
    <n v="20"/>
    <x v="6"/>
    <x v="1"/>
    <n v="3.93"/>
    <x v="1"/>
    <s v="Fair"/>
    <x v="30"/>
    <n v="20"/>
  </r>
  <r>
    <s v="McKinzie, Jac"/>
    <n v="10202"/>
    <x v="11"/>
    <x v="182"/>
    <x v="0"/>
    <x v="1"/>
    <x v="0"/>
    <x v="2"/>
    <x v="39"/>
    <x v="0"/>
    <x v="0"/>
    <x v="0"/>
    <s v="Sales"/>
    <x v="16"/>
    <n v="21"/>
    <x v="7"/>
    <x v="1"/>
    <n v="3.4"/>
    <x v="2"/>
    <s v="Good"/>
    <x v="47"/>
    <n v="7"/>
  </r>
  <r>
    <s v="Meads, Elizabeth"/>
    <n v="10128"/>
    <x v="0"/>
    <x v="183"/>
    <x v="1"/>
    <x v="0"/>
    <x v="0"/>
    <x v="1"/>
    <x v="11"/>
    <x v="53"/>
    <x v="4"/>
    <x v="1"/>
    <s v="Production       "/>
    <x v="11"/>
    <n v="18"/>
    <x v="4"/>
    <x v="1"/>
    <n v="4.18"/>
    <x v="2"/>
    <s v="Good"/>
    <x v="90"/>
    <n v="17"/>
  </r>
  <r>
    <s v="Medeiros, Jennifer"/>
    <n v="10068"/>
    <x v="0"/>
    <x v="135"/>
    <x v="1"/>
    <x v="0"/>
    <x v="0"/>
    <x v="0"/>
    <x v="1"/>
    <x v="0"/>
    <x v="0"/>
    <x v="0"/>
    <s v="Production       "/>
    <x v="0"/>
    <n v="22"/>
    <x v="6"/>
    <x v="1"/>
    <n v="5"/>
    <x v="2"/>
    <s v="Good"/>
    <x v="26"/>
    <n v="10"/>
  </r>
  <r>
    <s v="Miller, Brannon"/>
    <n v="10116"/>
    <x v="9"/>
    <x v="184"/>
    <x v="0"/>
    <x v="0"/>
    <x v="0"/>
    <x v="5"/>
    <x v="74"/>
    <x v="0"/>
    <x v="0"/>
    <x v="0"/>
    <s v="Production       "/>
    <x v="13"/>
    <n v="2"/>
    <x v="1"/>
    <x v="1"/>
    <n v="4.37"/>
    <x v="1"/>
    <s v="Fair"/>
    <x v="15"/>
    <n v="2"/>
  </r>
  <r>
    <s v="Miller, Ned"/>
    <n v="10298"/>
    <x v="2"/>
    <x v="185"/>
    <x v="0"/>
    <x v="0"/>
    <x v="0"/>
    <x v="0"/>
    <x v="25"/>
    <x v="54"/>
    <x v="5"/>
    <x v="1"/>
    <s v="Production       "/>
    <x v="8"/>
    <n v="12"/>
    <x v="0"/>
    <x v="3"/>
    <n v="3"/>
    <x v="3"/>
    <s v="Poor"/>
    <x v="91"/>
    <n v="6"/>
  </r>
  <r>
    <s v="Monkfish, Erasumus"/>
    <n v="10213"/>
    <x v="2"/>
    <x v="186"/>
    <x v="0"/>
    <x v="1"/>
    <x v="0"/>
    <x v="0"/>
    <x v="44"/>
    <x v="0"/>
    <x v="0"/>
    <x v="0"/>
    <s v="Production       "/>
    <x v="10"/>
    <n v="14"/>
    <x v="0"/>
    <x v="1"/>
    <n v="3.7"/>
    <x v="1"/>
    <s v="Fair"/>
    <x v="70"/>
    <n v="14"/>
  </r>
  <r>
    <s v="Monroe, Peter"/>
    <n v="10288"/>
    <x v="26"/>
    <x v="187"/>
    <x v="0"/>
    <x v="1"/>
    <x v="1"/>
    <x v="1"/>
    <x v="75"/>
    <x v="0"/>
    <x v="0"/>
    <x v="0"/>
    <s v="IT/IS"/>
    <x v="15"/>
    <n v="5"/>
    <x v="4"/>
    <x v="2"/>
    <n v="2.39"/>
    <x v="1"/>
    <s v="Fair"/>
    <x v="29"/>
    <n v="13"/>
  </r>
  <r>
    <s v="Monterro, Luisa"/>
    <n v="10025"/>
    <x v="2"/>
    <x v="188"/>
    <x v="1"/>
    <x v="0"/>
    <x v="0"/>
    <x v="1"/>
    <x v="76"/>
    <x v="0"/>
    <x v="0"/>
    <x v="0"/>
    <s v="Production       "/>
    <x v="2"/>
    <n v="20"/>
    <x v="1"/>
    <x v="0"/>
    <n v="4.7"/>
    <x v="1"/>
    <s v="Fair"/>
    <x v="15"/>
    <n v="1"/>
  </r>
  <r>
    <s v="Moran, Patrick"/>
    <n v="10223"/>
    <x v="2"/>
    <x v="189"/>
    <x v="0"/>
    <x v="0"/>
    <x v="0"/>
    <x v="1"/>
    <x v="5"/>
    <x v="0"/>
    <x v="0"/>
    <x v="0"/>
    <s v="Production       "/>
    <x v="11"/>
    <n v="18"/>
    <x v="4"/>
    <x v="1"/>
    <n v="4.0999999999999996"/>
    <x v="2"/>
    <s v="Good"/>
    <x v="43"/>
    <n v="12"/>
  </r>
  <r>
    <s v="Morway, Tanya"/>
    <n v="10151"/>
    <x v="19"/>
    <x v="190"/>
    <x v="1"/>
    <x v="1"/>
    <x v="0"/>
    <x v="0"/>
    <x v="21"/>
    <x v="0"/>
    <x v="0"/>
    <x v="0"/>
    <s v="IT/IS"/>
    <x v="9"/>
    <n v="7"/>
    <x v="6"/>
    <x v="1"/>
    <n v="3.81"/>
    <x v="1"/>
    <s v="Fair"/>
    <x v="72"/>
    <n v="6"/>
  </r>
  <r>
    <s v="Motlagh,  Dawn"/>
    <n v="10254"/>
    <x v="0"/>
    <x v="191"/>
    <x v="1"/>
    <x v="2"/>
    <x v="0"/>
    <x v="0"/>
    <x v="77"/>
    <x v="0"/>
    <x v="0"/>
    <x v="0"/>
    <s v="Production       "/>
    <x v="3"/>
    <n v="16"/>
    <x v="0"/>
    <x v="1"/>
    <n v="4.4000000000000004"/>
    <x v="2"/>
    <s v="Good"/>
    <x v="0"/>
    <n v="18"/>
  </r>
  <r>
    <s v="Moumanil, Maliki "/>
    <n v="10120"/>
    <x v="2"/>
    <x v="192"/>
    <x v="0"/>
    <x v="4"/>
    <x v="0"/>
    <x v="1"/>
    <x v="76"/>
    <x v="0"/>
    <x v="0"/>
    <x v="0"/>
    <s v="Production       "/>
    <x v="0"/>
    <n v="22"/>
    <x v="0"/>
    <x v="1"/>
    <n v="4.29"/>
    <x v="0"/>
    <s v="Very Good"/>
    <x v="41"/>
    <n v="11"/>
  </r>
  <r>
    <s v="Myers, Michael"/>
    <n v="10216"/>
    <x v="0"/>
    <x v="193"/>
    <x v="0"/>
    <x v="0"/>
    <x v="0"/>
    <x v="3"/>
    <x v="18"/>
    <x v="0"/>
    <x v="0"/>
    <x v="0"/>
    <s v="Production       "/>
    <x v="2"/>
    <n v="20"/>
    <x v="0"/>
    <x v="1"/>
    <n v="4.0999999999999996"/>
    <x v="2"/>
    <s v="Good"/>
    <x v="40"/>
    <n v="13"/>
  </r>
  <r>
    <s v="Navathe, Kurt"/>
    <n v="10079"/>
    <x v="24"/>
    <x v="194"/>
    <x v="0"/>
    <x v="0"/>
    <x v="0"/>
    <x v="3"/>
    <x v="78"/>
    <x v="0"/>
    <x v="0"/>
    <x v="0"/>
    <s v="IT/IS"/>
    <x v="19"/>
    <n v="13"/>
    <x v="1"/>
    <x v="1"/>
    <n v="5"/>
    <x v="1"/>
    <s v="Fair"/>
    <x v="7"/>
    <n v="17"/>
  </r>
  <r>
    <s v="Ndzi, Colombui"/>
    <n v="10215"/>
    <x v="0"/>
    <x v="195"/>
    <x v="0"/>
    <x v="0"/>
    <x v="0"/>
    <x v="1"/>
    <x v="65"/>
    <x v="9"/>
    <x v="3"/>
    <x v="1"/>
    <s v="Production       "/>
    <x v="4"/>
    <n v="39"/>
    <x v="4"/>
    <x v="1"/>
    <n v="4.3"/>
    <x v="1"/>
    <s v="Fair"/>
    <x v="92"/>
    <n v="19"/>
  </r>
  <r>
    <s v="Ndzi, Horia"/>
    <n v="10185"/>
    <x v="0"/>
    <x v="196"/>
    <x v="0"/>
    <x v="1"/>
    <x v="0"/>
    <x v="0"/>
    <x v="77"/>
    <x v="55"/>
    <x v="11"/>
    <x v="1"/>
    <s v="Production       "/>
    <x v="5"/>
    <n v="11"/>
    <x v="3"/>
    <x v="1"/>
    <n v="3.18"/>
    <x v="1"/>
    <s v="Fair"/>
    <x v="93"/>
    <n v="10"/>
  </r>
  <r>
    <s v="Newman, Richard "/>
    <n v="10063"/>
    <x v="0"/>
    <x v="197"/>
    <x v="0"/>
    <x v="1"/>
    <x v="0"/>
    <x v="0"/>
    <x v="32"/>
    <x v="0"/>
    <x v="0"/>
    <x v="0"/>
    <s v="Production       "/>
    <x v="7"/>
    <n v="19"/>
    <x v="0"/>
    <x v="1"/>
    <n v="5"/>
    <x v="0"/>
    <s v="Very Good"/>
    <x v="9"/>
    <n v="11"/>
  </r>
  <r>
    <s v="Ngodup, Shari "/>
    <n v="10037"/>
    <x v="0"/>
    <x v="198"/>
    <x v="1"/>
    <x v="4"/>
    <x v="0"/>
    <x v="1"/>
    <x v="77"/>
    <x v="0"/>
    <x v="0"/>
    <x v="0"/>
    <s v="Production       "/>
    <x v="8"/>
    <n v="12"/>
    <x v="4"/>
    <x v="0"/>
    <n v="4"/>
    <x v="1"/>
    <s v="Fair"/>
    <x v="52"/>
    <n v="12"/>
  </r>
  <r>
    <s v="Nguyen, Dheepa"/>
    <n v="10042"/>
    <x v="11"/>
    <x v="199"/>
    <x v="1"/>
    <x v="0"/>
    <x v="0"/>
    <x v="2"/>
    <x v="18"/>
    <x v="0"/>
    <x v="0"/>
    <x v="0"/>
    <s v="Sales"/>
    <x v="16"/>
    <n v="21"/>
    <x v="1"/>
    <x v="1"/>
    <n v="5"/>
    <x v="0"/>
    <s v="Very Good"/>
    <x v="8"/>
    <n v="2"/>
  </r>
  <r>
    <s v="Nguyen, Lei-Ming"/>
    <n v="10206"/>
    <x v="0"/>
    <x v="191"/>
    <x v="1"/>
    <x v="0"/>
    <x v="0"/>
    <x v="0"/>
    <x v="18"/>
    <x v="0"/>
    <x v="0"/>
    <x v="0"/>
    <s v="Production       "/>
    <x v="10"/>
    <n v="14"/>
    <x v="0"/>
    <x v="1"/>
    <n v="3.6"/>
    <x v="0"/>
    <s v="Very Good"/>
    <x v="6"/>
    <n v="4"/>
  </r>
  <r>
    <s v="Nowlan, Kristie"/>
    <n v="10104"/>
    <x v="2"/>
    <x v="200"/>
    <x v="1"/>
    <x v="0"/>
    <x v="0"/>
    <x v="0"/>
    <x v="6"/>
    <x v="0"/>
    <x v="0"/>
    <x v="0"/>
    <s v="Production       "/>
    <x v="3"/>
    <n v="16"/>
    <x v="1"/>
    <x v="1"/>
    <n v="4.53"/>
    <x v="0"/>
    <s v="Very Good"/>
    <x v="61"/>
    <n v="5"/>
  </r>
  <r>
    <s v="O'hare, Lynn"/>
    <n v="10303"/>
    <x v="0"/>
    <x v="201"/>
    <x v="1"/>
    <x v="0"/>
    <x v="0"/>
    <x v="2"/>
    <x v="28"/>
    <x v="56"/>
    <x v="7"/>
    <x v="2"/>
    <s v="Production       "/>
    <x v="2"/>
    <n v="20"/>
    <x v="0"/>
    <x v="3"/>
    <n v="2.33"/>
    <x v="3"/>
    <s v="Poor"/>
    <x v="94"/>
    <n v="3"/>
  </r>
  <r>
    <s v="Oliver, Brooke "/>
    <n v="10078"/>
    <x v="2"/>
    <x v="202"/>
    <x v="1"/>
    <x v="1"/>
    <x v="0"/>
    <x v="3"/>
    <x v="33"/>
    <x v="57"/>
    <x v="5"/>
    <x v="1"/>
    <s v="Production       "/>
    <x v="4"/>
    <n v="39"/>
    <x v="0"/>
    <x v="1"/>
    <n v="5"/>
    <x v="1"/>
    <s v="Fair"/>
    <x v="95"/>
    <n v="17"/>
  </r>
  <r>
    <s v="Onque, Jasmine"/>
    <n v="10121"/>
    <x v="11"/>
    <x v="203"/>
    <x v="1"/>
    <x v="0"/>
    <x v="0"/>
    <x v="0"/>
    <x v="7"/>
    <x v="0"/>
    <x v="0"/>
    <x v="0"/>
    <s v="Sales"/>
    <x v="16"/>
    <n v="21"/>
    <x v="1"/>
    <x v="1"/>
    <n v="4.28"/>
    <x v="1"/>
    <s v="Fair"/>
    <x v="8"/>
    <n v="1"/>
  </r>
  <r>
    <s v="Osturnka, Adeel"/>
    <n v="10021"/>
    <x v="0"/>
    <x v="204"/>
    <x v="0"/>
    <x v="1"/>
    <x v="0"/>
    <x v="0"/>
    <x v="7"/>
    <x v="0"/>
    <x v="0"/>
    <x v="0"/>
    <s v="Production       "/>
    <x v="11"/>
    <n v="18"/>
    <x v="0"/>
    <x v="0"/>
    <n v="5"/>
    <x v="1"/>
    <s v="Fair"/>
    <x v="65"/>
    <n v="13"/>
  </r>
  <r>
    <s v="Owad, Clinton"/>
    <n v="10281"/>
    <x v="0"/>
    <x v="205"/>
    <x v="0"/>
    <x v="0"/>
    <x v="0"/>
    <x v="1"/>
    <x v="20"/>
    <x v="0"/>
    <x v="0"/>
    <x v="0"/>
    <s v="Production       "/>
    <x v="0"/>
    <n v="22"/>
    <x v="0"/>
    <x v="2"/>
    <n v="4.25"/>
    <x v="1"/>
    <s v="Fair"/>
    <x v="39"/>
    <n v="6"/>
  </r>
  <r>
    <s v="Ozark, Travis"/>
    <n v="10041"/>
    <x v="11"/>
    <x v="206"/>
    <x v="0"/>
    <x v="0"/>
    <x v="0"/>
    <x v="0"/>
    <x v="9"/>
    <x v="0"/>
    <x v="0"/>
    <x v="0"/>
    <s v="Sales"/>
    <x v="14"/>
    <n v="17"/>
    <x v="7"/>
    <x v="1"/>
    <n v="5"/>
    <x v="0"/>
    <s v="Very Good"/>
    <x v="15"/>
    <n v="18"/>
  </r>
  <r>
    <s v="Panjwani, Nina"/>
    <n v="10148"/>
    <x v="0"/>
    <x v="207"/>
    <x v="1"/>
    <x v="1"/>
    <x v="0"/>
    <x v="0"/>
    <x v="79"/>
    <x v="58"/>
    <x v="4"/>
    <x v="1"/>
    <s v="Production       "/>
    <x v="3"/>
    <n v="16"/>
    <x v="2"/>
    <x v="1"/>
    <n v="3.89"/>
    <x v="2"/>
    <s v="Good"/>
    <x v="23"/>
    <n v="7"/>
  </r>
  <r>
    <s v="Patronick, Lucas"/>
    <n v="10005"/>
    <x v="3"/>
    <x v="208"/>
    <x v="0"/>
    <x v="0"/>
    <x v="0"/>
    <x v="1"/>
    <x v="44"/>
    <x v="59"/>
    <x v="4"/>
    <x v="1"/>
    <s v="Software Engineering"/>
    <x v="6"/>
    <n v="10"/>
    <x v="4"/>
    <x v="0"/>
    <n v="5"/>
    <x v="0"/>
    <s v="Very Good"/>
    <x v="96"/>
    <n v="13"/>
  </r>
  <r>
    <s v="Pearson, Randall"/>
    <n v="10259"/>
    <x v="5"/>
    <x v="209"/>
    <x v="0"/>
    <x v="1"/>
    <x v="0"/>
    <x v="0"/>
    <x v="80"/>
    <x v="60"/>
    <x v="7"/>
    <x v="1"/>
    <s v="IT/IS"/>
    <x v="1"/>
    <n v="4"/>
    <x v="3"/>
    <x v="1"/>
    <n v="4.7"/>
    <x v="2"/>
    <s v="Good"/>
    <x v="97"/>
    <n v="19"/>
  </r>
  <r>
    <s v="Smith, Martin"/>
    <n v="10286"/>
    <x v="0"/>
    <x v="210"/>
    <x v="0"/>
    <x v="0"/>
    <x v="0"/>
    <x v="1"/>
    <x v="10"/>
    <x v="61"/>
    <x v="1"/>
    <x v="1"/>
    <s v="Production       "/>
    <x v="4"/>
    <n v="39"/>
    <x v="2"/>
    <x v="2"/>
    <n v="3.54"/>
    <x v="0"/>
    <s v="Very Good"/>
    <x v="98"/>
    <n v="15"/>
  </r>
  <r>
    <s v="Pelletier, Ermine"/>
    <n v="10297"/>
    <x v="2"/>
    <x v="211"/>
    <x v="1"/>
    <x v="1"/>
    <x v="0"/>
    <x v="3"/>
    <x v="2"/>
    <x v="62"/>
    <x v="5"/>
    <x v="1"/>
    <s v="Production       "/>
    <x v="5"/>
    <n v="11"/>
    <x v="6"/>
    <x v="2"/>
    <n v="2.4"/>
    <x v="0"/>
    <s v="Very Good"/>
    <x v="99"/>
    <n v="2"/>
  </r>
  <r>
    <s v="Perry, Shakira"/>
    <n v="10171"/>
    <x v="0"/>
    <x v="212"/>
    <x v="1"/>
    <x v="0"/>
    <x v="0"/>
    <x v="0"/>
    <x v="37"/>
    <x v="63"/>
    <x v="16"/>
    <x v="1"/>
    <s v="Production       "/>
    <x v="5"/>
    <n v="11"/>
    <x v="0"/>
    <x v="1"/>
    <n v="3.45"/>
    <x v="2"/>
    <s v="Good"/>
    <x v="100"/>
    <n v="5"/>
  </r>
  <r>
    <s v="Peters, Lauren"/>
    <n v="10032"/>
    <x v="2"/>
    <x v="213"/>
    <x v="1"/>
    <x v="1"/>
    <x v="0"/>
    <x v="0"/>
    <x v="37"/>
    <x v="64"/>
    <x v="11"/>
    <x v="1"/>
    <s v="Production       "/>
    <x v="7"/>
    <n v="19"/>
    <x v="1"/>
    <x v="0"/>
    <n v="4.2"/>
    <x v="0"/>
    <s v="Very Good"/>
    <x v="101"/>
    <n v="12"/>
  </r>
  <r>
    <s v="Peterson, Ebonee  "/>
    <n v="10130"/>
    <x v="9"/>
    <x v="214"/>
    <x v="1"/>
    <x v="1"/>
    <x v="0"/>
    <x v="0"/>
    <x v="81"/>
    <x v="65"/>
    <x v="4"/>
    <x v="1"/>
    <s v="Production       "/>
    <x v="13"/>
    <n v="2"/>
    <x v="1"/>
    <x v="1"/>
    <n v="4.16"/>
    <x v="0"/>
    <s v="Very Good"/>
    <x v="102"/>
    <n v="6"/>
  </r>
  <r>
    <s v="Petingill, Shana  "/>
    <n v="10217"/>
    <x v="2"/>
    <x v="215"/>
    <x v="1"/>
    <x v="1"/>
    <x v="1"/>
    <x v="3"/>
    <x v="11"/>
    <x v="0"/>
    <x v="0"/>
    <x v="0"/>
    <s v="Production       "/>
    <x v="8"/>
    <n v="12"/>
    <x v="0"/>
    <x v="1"/>
    <n v="4.3"/>
    <x v="1"/>
    <s v="Fair"/>
    <x v="15"/>
    <n v="14"/>
  </r>
  <r>
    <s v="Petrowsky, Thelma"/>
    <n v="10016"/>
    <x v="5"/>
    <x v="216"/>
    <x v="1"/>
    <x v="1"/>
    <x v="0"/>
    <x v="1"/>
    <x v="6"/>
    <x v="0"/>
    <x v="0"/>
    <x v="0"/>
    <s v="IT/IS"/>
    <x v="1"/>
    <n v="4"/>
    <x v="3"/>
    <x v="0"/>
    <n v="4.5999999999999996"/>
    <x v="0"/>
    <s v="Very Good"/>
    <x v="49"/>
    <n v="16"/>
  </r>
  <r>
    <s v="Pham, Hong"/>
    <n v="10050"/>
    <x v="0"/>
    <x v="217"/>
    <x v="0"/>
    <x v="1"/>
    <x v="0"/>
    <x v="3"/>
    <x v="2"/>
    <x v="66"/>
    <x v="11"/>
    <x v="1"/>
    <s v="Production       "/>
    <x v="8"/>
    <n v="12"/>
    <x v="2"/>
    <x v="1"/>
    <n v="5"/>
    <x v="1"/>
    <s v="Fair"/>
    <x v="103"/>
    <n v="13"/>
  </r>
  <r>
    <s v="Pitt, Brad "/>
    <n v="10164"/>
    <x v="0"/>
    <x v="218"/>
    <x v="0"/>
    <x v="0"/>
    <x v="0"/>
    <x v="0"/>
    <x v="82"/>
    <x v="0"/>
    <x v="0"/>
    <x v="0"/>
    <s v="Production       "/>
    <x v="10"/>
    <n v="14"/>
    <x v="2"/>
    <x v="1"/>
    <n v="3.66"/>
    <x v="1"/>
    <s v="Fair"/>
    <x v="7"/>
    <n v="15"/>
  </r>
  <r>
    <s v="Potts, Xana"/>
    <n v="10124"/>
    <x v="11"/>
    <x v="219"/>
    <x v="1"/>
    <x v="1"/>
    <x v="0"/>
    <x v="1"/>
    <x v="5"/>
    <x v="0"/>
    <x v="0"/>
    <x v="0"/>
    <s v="Sales"/>
    <x v="16"/>
    <n v="21"/>
    <x v="7"/>
    <x v="1"/>
    <n v="4.2"/>
    <x v="0"/>
    <s v="Very Good"/>
    <x v="25"/>
    <n v="9"/>
  </r>
  <r>
    <s v="Power, Morissa"/>
    <n v="10187"/>
    <x v="0"/>
    <x v="220"/>
    <x v="1"/>
    <x v="2"/>
    <x v="1"/>
    <x v="3"/>
    <x v="37"/>
    <x v="67"/>
    <x v="4"/>
    <x v="1"/>
    <s v="Production       "/>
    <x v="2"/>
    <n v="20"/>
    <x v="2"/>
    <x v="1"/>
    <n v="3.17"/>
    <x v="2"/>
    <s v="Good"/>
    <x v="104"/>
    <n v="14"/>
  </r>
  <r>
    <s v="Punjabhi, Louis  "/>
    <n v="10225"/>
    <x v="0"/>
    <x v="221"/>
    <x v="0"/>
    <x v="0"/>
    <x v="0"/>
    <x v="0"/>
    <x v="64"/>
    <x v="0"/>
    <x v="0"/>
    <x v="0"/>
    <s v="Production       "/>
    <x v="11"/>
    <n v="18"/>
    <x v="3"/>
    <x v="1"/>
    <n v="4.8"/>
    <x v="1"/>
    <s v="Fair"/>
    <x v="5"/>
    <n v="14"/>
  </r>
  <r>
    <s v="Purinton, Janine"/>
    <n v="10262"/>
    <x v="0"/>
    <x v="222"/>
    <x v="1"/>
    <x v="2"/>
    <x v="0"/>
    <x v="0"/>
    <x v="13"/>
    <x v="36"/>
    <x v="5"/>
    <x v="1"/>
    <s v="Production       "/>
    <x v="2"/>
    <n v="20"/>
    <x v="1"/>
    <x v="1"/>
    <n v="4.5"/>
    <x v="0"/>
    <s v="Very Good"/>
    <x v="105"/>
    <n v="16"/>
  </r>
  <r>
    <s v="Quinn, Sean"/>
    <n v="10131"/>
    <x v="3"/>
    <x v="223"/>
    <x v="0"/>
    <x v="1"/>
    <x v="1"/>
    <x v="1"/>
    <x v="14"/>
    <x v="68"/>
    <x v="1"/>
    <x v="1"/>
    <s v="Software Engineering"/>
    <x v="13"/>
    <n v="2"/>
    <x v="4"/>
    <x v="1"/>
    <n v="4.1500000000000004"/>
    <x v="2"/>
    <s v="Good"/>
    <x v="106"/>
    <n v="4"/>
  </r>
  <r>
    <s v="Rachael, Maggie"/>
    <n v="10239"/>
    <x v="17"/>
    <x v="224"/>
    <x v="1"/>
    <x v="1"/>
    <x v="0"/>
    <x v="1"/>
    <x v="68"/>
    <x v="0"/>
    <x v="0"/>
    <x v="0"/>
    <s v="IT/IS"/>
    <x v="19"/>
    <n v="13"/>
    <x v="1"/>
    <x v="1"/>
    <n v="4.4000000000000004"/>
    <x v="2"/>
    <s v="Good"/>
    <x v="81"/>
    <n v="10"/>
  </r>
  <r>
    <s v="Rarrick, Quinn"/>
    <n v="10152"/>
    <x v="0"/>
    <x v="225"/>
    <x v="0"/>
    <x v="2"/>
    <x v="0"/>
    <x v="0"/>
    <x v="65"/>
    <x v="69"/>
    <x v="11"/>
    <x v="1"/>
    <s v="Production       "/>
    <x v="0"/>
    <n v="22"/>
    <x v="1"/>
    <x v="1"/>
    <n v="3.8"/>
    <x v="0"/>
    <s v="Very Good"/>
    <x v="107"/>
    <n v="19"/>
  </r>
  <r>
    <s v="Ren, Kylo"/>
    <n v="10140"/>
    <x v="11"/>
    <x v="226"/>
    <x v="0"/>
    <x v="1"/>
    <x v="0"/>
    <x v="0"/>
    <x v="32"/>
    <x v="0"/>
    <x v="0"/>
    <x v="0"/>
    <s v="Sales"/>
    <x v="14"/>
    <n v="17"/>
    <x v="6"/>
    <x v="1"/>
    <n v="3.98"/>
    <x v="1"/>
    <s v="Fair"/>
    <x v="41"/>
    <n v="4"/>
  </r>
  <r>
    <s v="Rhoads, Thomas"/>
    <n v="10058"/>
    <x v="0"/>
    <x v="227"/>
    <x v="0"/>
    <x v="2"/>
    <x v="0"/>
    <x v="0"/>
    <x v="37"/>
    <x v="70"/>
    <x v="9"/>
    <x v="1"/>
    <s v="Production       "/>
    <x v="3"/>
    <n v="16"/>
    <x v="0"/>
    <x v="1"/>
    <n v="5"/>
    <x v="2"/>
    <s v="Good"/>
    <x v="108"/>
    <n v="11"/>
  </r>
  <r>
    <s v="Rivera, Haley  "/>
    <n v="10011"/>
    <x v="0"/>
    <x v="228"/>
    <x v="1"/>
    <x v="1"/>
    <x v="0"/>
    <x v="3"/>
    <x v="59"/>
    <x v="0"/>
    <x v="0"/>
    <x v="0"/>
    <s v="Production       "/>
    <x v="4"/>
    <m/>
    <x v="2"/>
    <x v="0"/>
    <n v="4.3600000000000003"/>
    <x v="0"/>
    <s v="Very Good"/>
    <x v="72"/>
    <n v="16"/>
  </r>
  <r>
    <s v="Roberson, May"/>
    <n v="10230"/>
    <x v="2"/>
    <x v="229"/>
    <x v="1"/>
    <x v="2"/>
    <x v="1"/>
    <x v="1"/>
    <x v="65"/>
    <x v="71"/>
    <x v="3"/>
    <x v="1"/>
    <s v="Production       "/>
    <x v="10"/>
    <n v="14"/>
    <x v="2"/>
    <x v="1"/>
    <n v="4.5"/>
    <x v="2"/>
    <s v="Good"/>
    <x v="109"/>
    <n v="10"/>
  </r>
  <r>
    <s v="Robertson, Peter"/>
    <n v="10224"/>
    <x v="2"/>
    <x v="230"/>
    <x v="0"/>
    <x v="1"/>
    <x v="0"/>
    <x v="0"/>
    <x v="2"/>
    <x v="72"/>
    <x v="4"/>
    <x v="1"/>
    <s v="Production       "/>
    <x v="2"/>
    <n v="20"/>
    <x v="1"/>
    <x v="1"/>
    <n v="4.2"/>
    <x v="0"/>
    <s v="Very Good"/>
    <x v="110"/>
    <n v="13"/>
  </r>
  <r>
    <s v="Robinson, Alain  "/>
    <n v="10047"/>
    <x v="0"/>
    <x v="178"/>
    <x v="0"/>
    <x v="1"/>
    <x v="0"/>
    <x v="1"/>
    <x v="10"/>
    <x v="73"/>
    <x v="6"/>
    <x v="1"/>
    <s v="Production       "/>
    <x v="5"/>
    <n v="11"/>
    <x v="1"/>
    <x v="1"/>
    <n v="5"/>
    <x v="1"/>
    <s v="Fair"/>
    <x v="111"/>
    <n v="11"/>
  </r>
  <r>
    <s v="Robinson, Cherly"/>
    <n v="10285"/>
    <x v="0"/>
    <x v="231"/>
    <x v="1"/>
    <x v="1"/>
    <x v="0"/>
    <x v="0"/>
    <x v="10"/>
    <x v="24"/>
    <x v="6"/>
    <x v="2"/>
    <s v="Production       "/>
    <x v="7"/>
    <n v="19"/>
    <x v="1"/>
    <x v="2"/>
    <n v="3.6"/>
    <x v="1"/>
    <s v="Fair"/>
    <x v="112"/>
    <n v="16"/>
  </r>
  <r>
    <s v="Robinson, Elias"/>
    <n v="10020"/>
    <x v="0"/>
    <x v="232"/>
    <x v="0"/>
    <x v="3"/>
    <x v="0"/>
    <x v="0"/>
    <x v="18"/>
    <x v="0"/>
    <x v="0"/>
    <x v="0"/>
    <s v="Production       "/>
    <x v="8"/>
    <n v="12"/>
    <x v="3"/>
    <x v="0"/>
    <n v="3.6"/>
    <x v="0"/>
    <s v="Very Good"/>
    <x v="72"/>
    <n v="4"/>
  </r>
  <r>
    <s v="Roby, Lori "/>
    <n v="10162"/>
    <x v="5"/>
    <x v="233"/>
    <x v="1"/>
    <x v="1"/>
    <x v="0"/>
    <x v="0"/>
    <x v="21"/>
    <x v="0"/>
    <x v="0"/>
    <x v="0"/>
    <s v="IT/IS"/>
    <x v="1"/>
    <n v="4"/>
    <x v="3"/>
    <x v="1"/>
    <n v="3.69"/>
    <x v="0"/>
    <s v="Very Good"/>
    <x v="12"/>
    <n v="15"/>
  </r>
  <r>
    <s v="Roehrich, Bianca"/>
    <n v="10149"/>
    <x v="27"/>
    <x v="234"/>
    <x v="1"/>
    <x v="0"/>
    <x v="0"/>
    <x v="0"/>
    <x v="9"/>
    <x v="74"/>
    <x v="4"/>
    <x v="1"/>
    <s v="IT/IS"/>
    <x v="1"/>
    <n v="4"/>
    <x v="0"/>
    <x v="1"/>
    <n v="3.88"/>
    <x v="1"/>
    <s v="Fair"/>
    <x v="113"/>
    <n v="12"/>
  </r>
  <r>
    <s v="Roper, Katie"/>
    <n v="10086"/>
    <x v="28"/>
    <x v="235"/>
    <x v="1"/>
    <x v="0"/>
    <x v="0"/>
    <x v="1"/>
    <x v="83"/>
    <x v="0"/>
    <x v="0"/>
    <x v="0"/>
    <s v="IT/IS"/>
    <x v="19"/>
    <n v="13"/>
    <x v="1"/>
    <x v="1"/>
    <n v="4.9400000000000004"/>
    <x v="1"/>
    <s v="Fair"/>
    <x v="81"/>
    <n v="17"/>
  </r>
  <r>
    <s v="Rose, Ashley  "/>
    <n v="10054"/>
    <x v="0"/>
    <x v="236"/>
    <x v="1"/>
    <x v="4"/>
    <x v="0"/>
    <x v="0"/>
    <x v="64"/>
    <x v="0"/>
    <x v="0"/>
    <x v="0"/>
    <s v="Production       "/>
    <x v="10"/>
    <n v="14"/>
    <x v="7"/>
    <x v="1"/>
    <n v="5"/>
    <x v="2"/>
    <s v="Good"/>
    <x v="43"/>
    <n v="8"/>
  </r>
  <r>
    <s v="Rossetti, Bruno"/>
    <n v="10065"/>
    <x v="0"/>
    <x v="237"/>
    <x v="0"/>
    <x v="0"/>
    <x v="0"/>
    <x v="0"/>
    <x v="16"/>
    <x v="75"/>
    <x v="4"/>
    <x v="1"/>
    <s v="Production       "/>
    <x v="2"/>
    <n v="20"/>
    <x v="2"/>
    <x v="1"/>
    <n v="5"/>
    <x v="0"/>
    <s v="Very Good"/>
    <x v="114"/>
    <n v="4"/>
  </r>
  <r>
    <s v="Roup,Simon"/>
    <n v="10198"/>
    <x v="29"/>
    <x v="238"/>
    <x v="0"/>
    <x v="0"/>
    <x v="0"/>
    <x v="0"/>
    <x v="84"/>
    <x v="0"/>
    <x v="0"/>
    <x v="0"/>
    <s v="IT/IS"/>
    <x v="15"/>
    <n v="5"/>
    <x v="1"/>
    <x v="1"/>
    <n v="3.6"/>
    <x v="0"/>
    <s v="Very Good"/>
    <x v="9"/>
    <n v="13"/>
  </r>
  <r>
    <s v="Ruiz, Ricardo"/>
    <n v="10222"/>
    <x v="29"/>
    <x v="239"/>
    <x v="0"/>
    <x v="2"/>
    <x v="0"/>
    <x v="1"/>
    <x v="5"/>
    <x v="19"/>
    <x v="2"/>
    <x v="1"/>
    <s v="IT/IS"/>
    <x v="15"/>
    <n v="5"/>
    <x v="4"/>
    <x v="1"/>
    <n v="4.3"/>
    <x v="2"/>
    <s v="Good"/>
    <x v="115"/>
    <n v="8"/>
  </r>
  <r>
    <s v="Saada, Adell"/>
    <n v="10126"/>
    <x v="3"/>
    <x v="240"/>
    <x v="1"/>
    <x v="1"/>
    <x v="0"/>
    <x v="0"/>
    <x v="63"/>
    <x v="0"/>
    <x v="0"/>
    <x v="0"/>
    <s v="Software Engineering"/>
    <x v="6"/>
    <n v="10"/>
    <x v="1"/>
    <x v="1"/>
    <n v="4.2"/>
    <x v="1"/>
    <s v="Fair"/>
    <x v="52"/>
    <n v="2"/>
  </r>
  <r>
    <s v="Saar-Beckles, Melinda"/>
    <n v="10295"/>
    <x v="0"/>
    <x v="241"/>
    <x v="1"/>
    <x v="0"/>
    <x v="0"/>
    <x v="1"/>
    <x v="85"/>
    <x v="0"/>
    <x v="0"/>
    <x v="0"/>
    <s v="Production       "/>
    <x v="11"/>
    <n v="18"/>
    <x v="4"/>
    <x v="2"/>
    <n v="2.6"/>
    <x v="2"/>
    <s v="Good"/>
    <x v="9"/>
    <n v="4"/>
  </r>
  <r>
    <s v="Sadki, Nore  "/>
    <n v="10260"/>
    <x v="0"/>
    <x v="11"/>
    <x v="0"/>
    <x v="0"/>
    <x v="0"/>
    <x v="0"/>
    <x v="41"/>
    <x v="76"/>
    <x v="10"/>
    <x v="1"/>
    <s v="Production       "/>
    <x v="0"/>
    <n v="22"/>
    <x v="2"/>
    <x v="1"/>
    <n v="4.5999999999999996"/>
    <x v="0"/>
    <s v="Very Good"/>
    <x v="116"/>
    <n v="7"/>
  </r>
  <r>
    <s v="Sahoo, Adil"/>
    <n v="10233"/>
    <x v="2"/>
    <x v="242"/>
    <x v="0"/>
    <x v="1"/>
    <x v="0"/>
    <x v="0"/>
    <x v="38"/>
    <x v="0"/>
    <x v="0"/>
    <x v="0"/>
    <s v="Production       "/>
    <x v="11"/>
    <n v="18"/>
    <x v="6"/>
    <x v="1"/>
    <n v="4.0999999999999996"/>
    <x v="1"/>
    <s v="Fair"/>
    <x v="18"/>
    <n v="13"/>
  </r>
  <r>
    <s v="Salter, Jason"/>
    <n v="10229"/>
    <x v="30"/>
    <x v="243"/>
    <x v="0"/>
    <x v="2"/>
    <x v="0"/>
    <x v="1"/>
    <x v="9"/>
    <x v="77"/>
    <x v="2"/>
    <x v="1"/>
    <s v="IT/IS"/>
    <x v="1"/>
    <n v="4"/>
    <x v="0"/>
    <x v="1"/>
    <n v="4.2"/>
    <x v="1"/>
    <s v="Fair"/>
    <x v="117"/>
    <n v="2"/>
  </r>
  <r>
    <s v="Sander, Kamrin"/>
    <n v="10169"/>
    <x v="0"/>
    <x v="244"/>
    <x v="1"/>
    <x v="1"/>
    <x v="0"/>
    <x v="1"/>
    <x v="23"/>
    <x v="0"/>
    <x v="0"/>
    <x v="0"/>
    <s v="Production       "/>
    <x v="3"/>
    <n v="16"/>
    <x v="0"/>
    <x v="1"/>
    <n v="3.51"/>
    <x v="1"/>
    <s v="Fair"/>
    <x v="9"/>
    <n v="2"/>
  </r>
  <r>
    <s v="Sewkumar, Nori"/>
    <n v="10071"/>
    <x v="0"/>
    <x v="245"/>
    <x v="1"/>
    <x v="0"/>
    <x v="0"/>
    <x v="3"/>
    <x v="7"/>
    <x v="0"/>
    <x v="0"/>
    <x v="0"/>
    <s v="Production       "/>
    <x v="4"/>
    <m/>
    <x v="2"/>
    <x v="1"/>
    <n v="5"/>
    <x v="0"/>
    <s v="Very Good"/>
    <x v="81"/>
    <n v="14"/>
  </r>
  <r>
    <s v="Shepard, Anita "/>
    <n v="10179"/>
    <x v="19"/>
    <x v="246"/>
    <x v="1"/>
    <x v="1"/>
    <x v="0"/>
    <x v="0"/>
    <x v="86"/>
    <x v="0"/>
    <x v="0"/>
    <x v="0"/>
    <s v="IT/IS"/>
    <x v="9"/>
    <n v="7"/>
    <x v="0"/>
    <x v="1"/>
    <n v="3.31"/>
    <x v="1"/>
    <s v="Fair"/>
    <x v="5"/>
    <n v="7"/>
  </r>
  <r>
    <s v="Shields, Seffi"/>
    <n v="10091"/>
    <x v="0"/>
    <x v="247"/>
    <x v="1"/>
    <x v="1"/>
    <x v="0"/>
    <x v="0"/>
    <x v="19"/>
    <x v="0"/>
    <x v="0"/>
    <x v="0"/>
    <s v="Production       "/>
    <x v="5"/>
    <n v="11"/>
    <x v="0"/>
    <x v="1"/>
    <n v="4.8099999999999996"/>
    <x v="2"/>
    <s v="Good"/>
    <x v="67"/>
    <n v="15"/>
  </r>
  <r>
    <s v="Simard, Kramer"/>
    <n v="10178"/>
    <x v="5"/>
    <x v="248"/>
    <x v="0"/>
    <x v="1"/>
    <x v="0"/>
    <x v="0"/>
    <x v="9"/>
    <x v="0"/>
    <x v="0"/>
    <x v="0"/>
    <s v="IT/IS"/>
    <x v="1"/>
    <n v="4"/>
    <x v="3"/>
    <x v="1"/>
    <n v="3.32"/>
    <x v="1"/>
    <s v="Fair"/>
    <x v="15"/>
    <n v="16"/>
  </r>
  <r>
    <s v="Singh, Nan "/>
    <n v="10039"/>
    <x v="22"/>
    <x v="249"/>
    <x v="1"/>
    <x v="0"/>
    <x v="0"/>
    <x v="0"/>
    <x v="87"/>
    <x v="0"/>
    <x v="0"/>
    <x v="0"/>
    <s v="Admin Offices"/>
    <x v="12"/>
    <n v="1"/>
    <x v="7"/>
    <x v="1"/>
    <n v="5"/>
    <x v="1"/>
    <s v="Fair"/>
    <x v="24"/>
    <n v="2"/>
  </r>
  <r>
    <s v="Sloan, Constance"/>
    <n v="10095"/>
    <x v="2"/>
    <x v="250"/>
    <x v="1"/>
    <x v="0"/>
    <x v="0"/>
    <x v="0"/>
    <x v="88"/>
    <x v="78"/>
    <x v="15"/>
    <x v="1"/>
    <s v="Production       "/>
    <x v="0"/>
    <n v="22"/>
    <x v="6"/>
    <x v="1"/>
    <n v="4.68"/>
    <x v="2"/>
    <s v="Good"/>
    <x v="118"/>
    <n v="20"/>
  </r>
  <r>
    <s v="Smith, Joe"/>
    <n v="10027"/>
    <x v="2"/>
    <x v="251"/>
    <x v="0"/>
    <x v="0"/>
    <x v="0"/>
    <x v="0"/>
    <x v="23"/>
    <x v="0"/>
    <x v="0"/>
    <x v="0"/>
    <s v="Production       "/>
    <x v="3"/>
    <n v="16"/>
    <x v="1"/>
    <x v="0"/>
    <n v="4.3"/>
    <x v="1"/>
    <s v="Fair"/>
    <x v="41"/>
    <n v="4"/>
  </r>
  <r>
    <s v="Smith, John"/>
    <n v="10291"/>
    <x v="16"/>
    <x v="252"/>
    <x v="0"/>
    <x v="2"/>
    <x v="0"/>
    <x v="1"/>
    <x v="89"/>
    <x v="0"/>
    <x v="0"/>
    <x v="0"/>
    <s v="Sales"/>
    <x v="18"/>
    <n v="15"/>
    <x v="4"/>
    <x v="2"/>
    <n v="2.4"/>
    <x v="2"/>
    <s v="Good"/>
    <x v="61"/>
    <n v="16"/>
  </r>
  <r>
    <s v="Smith, Leigh Ann"/>
    <n v="10153"/>
    <x v="22"/>
    <x v="161"/>
    <x v="1"/>
    <x v="1"/>
    <x v="0"/>
    <x v="1"/>
    <x v="65"/>
    <x v="79"/>
    <x v="1"/>
    <x v="1"/>
    <s v="Admin Offices"/>
    <x v="12"/>
    <n v="1"/>
    <x v="4"/>
    <x v="1"/>
    <n v="3.8"/>
    <x v="2"/>
    <s v="Good"/>
    <x v="119"/>
    <n v="17"/>
  </r>
  <r>
    <s v="Smith, Sade"/>
    <n v="10157"/>
    <x v="0"/>
    <x v="253"/>
    <x v="1"/>
    <x v="0"/>
    <x v="0"/>
    <x v="0"/>
    <x v="24"/>
    <x v="0"/>
    <x v="0"/>
    <x v="0"/>
    <s v="Production       "/>
    <x v="7"/>
    <n v="19"/>
    <x v="3"/>
    <x v="1"/>
    <n v="3.73"/>
    <x v="1"/>
    <s v="Fair"/>
    <x v="42"/>
    <n v="16"/>
  </r>
  <r>
    <s v="Soto, Julia "/>
    <n v="10119"/>
    <x v="4"/>
    <x v="254"/>
    <x v="1"/>
    <x v="1"/>
    <x v="0"/>
    <x v="1"/>
    <x v="90"/>
    <x v="0"/>
    <x v="0"/>
    <x v="0"/>
    <s v="IT/IS"/>
    <x v="17"/>
    <n v="6"/>
    <x v="0"/>
    <x v="1"/>
    <n v="4.3"/>
    <x v="1"/>
    <s v="Fair"/>
    <x v="59"/>
    <n v="19"/>
  </r>
  <r>
    <s v="Soze, Keyser"/>
    <n v="10180"/>
    <x v="15"/>
    <x v="255"/>
    <x v="0"/>
    <x v="1"/>
    <x v="0"/>
    <x v="3"/>
    <x v="29"/>
    <x v="0"/>
    <x v="0"/>
    <x v="0"/>
    <s v="IT/IS"/>
    <x v="9"/>
    <n v="7"/>
    <x v="0"/>
    <x v="1"/>
    <n v="3.27"/>
    <x v="2"/>
    <s v="Good"/>
    <x v="15"/>
    <n v="13"/>
  </r>
  <r>
    <s v="Sparks, Taylor  "/>
    <n v="10302"/>
    <x v="0"/>
    <x v="256"/>
    <x v="1"/>
    <x v="1"/>
    <x v="0"/>
    <x v="0"/>
    <x v="12"/>
    <x v="0"/>
    <x v="0"/>
    <x v="0"/>
    <s v="Production       "/>
    <x v="8"/>
    <n v="12"/>
    <x v="1"/>
    <x v="3"/>
    <n v="2.4"/>
    <x v="3"/>
    <s v="Poor"/>
    <x v="7"/>
    <n v="20"/>
  </r>
  <r>
    <s v="Spirea, Kelley"/>
    <n v="10090"/>
    <x v="9"/>
    <x v="257"/>
    <x v="1"/>
    <x v="1"/>
    <x v="0"/>
    <x v="0"/>
    <x v="91"/>
    <x v="0"/>
    <x v="0"/>
    <x v="0"/>
    <s v="Production       "/>
    <x v="13"/>
    <n v="2"/>
    <x v="0"/>
    <x v="1"/>
    <n v="4.83"/>
    <x v="0"/>
    <s v="Very Good"/>
    <x v="12"/>
    <n v="15"/>
  </r>
  <r>
    <s v="Squatrito, Kristen"/>
    <n v="10030"/>
    <x v="0"/>
    <x v="258"/>
    <x v="1"/>
    <x v="2"/>
    <x v="0"/>
    <x v="0"/>
    <x v="76"/>
    <x v="80"/>
    <x v="5"/>
    <x v="1"/>
    <s v="Production       "/>
    <x v="10"/>
    <n v="14"/>
    <x v="0"/>
    <x v="0"/>
    <n v="4.0999999999999996"/>
    <x v="2"/>
    <s v="Good"/>
    <x v="120"/>
    <n v="16"/>
  </r>
  <r>
    <s v="Stanford,Barbara  M"/>
    <n v="10278"/>
    <x v="0"/>
    <x v="259"/>
    <x v="1"/>
    <x v="2"/>
    <x v="0"/>
    <x v="2"/>
    <x v="10"/>
    <x v="0"/>
    <x v="0"/>
    <x v="0"/>
    <s v="Production       "/>
    <x v="2"/>
    <n v="20"/>
    <x v="2"/>
    <x v="1"/>
    <n v="4.0999999999999996"/>
    <x v="2"/>
    <s v="Good"/>
    <x v="65"/>
    <n v="9"/>
  </r>
  <r>
    <s v="Stansfield, Norman"/>
    <n v="10307"/>
    <x v="11"/>
    <x v="260"/>
    <x v="0"/>
    <x v="1"/>
    <x v="0"/>
    <x v="0"/>
    <x v="32"/>
    <x v="0"/>
    <x v="0"/>
    <x v="0"/>
    <s v="Sales"/>
    <x v="16"/>
    <n v="21"/>
    <x v="7"/>
    <x v="3"/>
    <n v="1.81"/>
    <x v="3"/>
    <s v="Poor"/>
    <x v="0"/>
    <n v="5"/>
  </r>
  <r>
    <s v="Steans, Tyrone  "/>
    <n v="10147"/>
    <x v="10"/>
    <x v="261"/>
    <x v="0"/>
    <x v="0"/>
    <x v="0"/>
    <x v="0"/>
    <x v="23"/>
    <x v="0"/>
    <x v="0"/>
    <x v="0"/>
    <s v="Admin Offices"/>
    <x v="12"/>
    <n v="1"/>
    <x v="1"/>
    <x v="1"/>
    <n v="3.9"/>
    <x v="0"/>
    <s v="Very Good"/>
    <x v="48"/>
    <n v="9"/>
  </r>
  <r>
    <s v="Stoica, Rick"/>
    <n v="10266"/>
    <x v="0"/>
    <x v="262"/>
    <x v="0"/>
    <x v="1"/>
    <x v="0"/>
    <x v="3"/>
    <x v="20"/>
    <x v="0"/>
    <x v="0"/>
    <x v="0"/>
    <s v="Production       "/>
    <x v="11"/>
    <n v="18"/>
    <x v="0"/>
    <x v="1"/>
    <n v="4.7"/>
    <x v="1"/>
    <s v="Fair"/>
    <x v="17"/>
    <n v="4"/>
  </r>
  <r>
    <s v="Strong, Caitrin"/>
    <n v="10241"/>
    <x v="11"/>
    <x v="263"/>
    <x v="1"/>
    <x v="1"/>
    <x v="0"/>
    <x v="1"/>
    <x v="92"/>
    <x v="0"/>
    <x v="0"/>
    <x v="0"/>
    <s v="Sales"/>
    <x v="14"/>
    <n v="17"/>
    <x v="1"/>
    <x v="1"/>
    <n v="4.0999999999999996"/>
    <x v="2"/>
    <s v="Good"/>
    <x v="43"/>
    <n v="18"/>
  </r>
  <r>
    <s v="Sullivan, Kissy "/>
    <n v="10158"/>
    <x v="9"/>
    <x v="264"/>
    <x v="1"/>
    <x v="1"/>
    <x v="0"/>
    <x v="1"/>
    <x v="93"/>
    <x v="0"/>
    <x v="0"/>
    <x v="0"/>
    <s v="Production       "/>
    <x v="13"/>
    <n v="2"/>
    <x v="1"/>
    <x v="1"/>
    <n v="3.73"/>
    <x v="2"/>
    <s v="Good"/>
    <x v="42"/>
    <n v="12"/>
  </r>
  <r>
    <s v="Sullivan, Timothy"/>
    <n v="10117"/>
    <x v="0"/>
    <x v="265"/>
    <x v="0"/>
    <x v="1"/>
    <x v="0"/>
    <x v="0"/>
    <x v="9"/>
    <x v="0"/>
    <x v="0"/>
    <x v="0"/>
    <s v="Production       "/>
    <x v="0"/>
    <n v="22"/>
    <x v="2"/>
    <x v="1"/>
    <n v="4.3600000000000003"/>
    <x v="0"/>
    <s v="Very Good"/>
    <x v="42"/>
    <n v="10"/>
  </r>
  <r>
    <s v="Sutwell, Barbara"/>
    <n v="10209"/>
    <x v="0"/>
    <x v="266"/>
    <x v="1"/>
    <x v="0"/>
    <x v="1"/>
    <x v="3"/>
    <x v="33"/>
    <x v="0"/>
    <x v="0"/>
    <x v="0"/>
    <s v="Production       "/>
    <x v="3"/>
    <n v="16"/>
    <x v="1"/>
    <x v="1"/>
    <n v="3.4"/>
    <x v="0"/>
    <s v="Very Good"/>
    <x v="43"/>
    <n v="13"/>
  </r>
  <r>
    <s v="Szabo, Andrew"/>
    <n v="10024"/>
    <x v="3"/>
    <x v="267"/>
    <x v="0"/>
    <x v="0"/>
    <x v="0"/>
    <x v="0"/>
    <x v="17"/>
    <x v="0"/>
    <x v="0"/>
    <x v="0"/>
    <s v="Software Engineering"/>
    <x v="6"/>
    <n v="10"/>
    <x v="0"/>
    <x v="0"/>
    <n v="4.5"/>
    <x v="0"/>
    <s v="Very Good"/>
    <x v="9"/>
    <n v="1"/>
  </r>
  <r>
    <s v="Tannen, Biff"/>
    <n v="10173"/>
    <x v="17"/>
    <x v="268"/>
    <x v="0"/>
    <x v="1"/>
    <x v="0"/>
    <x v="0"/>
    <x v="57"/>
    <x v="0"/>
    <x v="0"/>
    <x v="0"/>
    <s v="IT/IS"/>
    <x v="19"/>
    <n v="13"/>
    <x v="1"/>
    <x v="1"/>
    <n v="3.4"/>
    <x v="1"/>
    <s v="Fair"/>
    <x v="6"/>
    <n v="14"/>
  </r>
  <r>
    <s v="Tavares, Desiree  "/>
    <n v="10221"/>
    <x v="0"/>
    <x v="269"/>
    <x v="1"/>
    <x v="1"/>
    <x v="2"/>
    <x v="1"/>
    <x v="94"/>
    <x v="39"/>
    <x v="4"/>
    <x v="1"/>
    <s v="Production       "/>
    <x v="4"/>
    <n v="39"/>
    <x v="4"/>
    <x v="1"/>
    <n v="4.5"/>
    <x v="0"/>
    <s v="Very Good"/>
    <x v="121"/>
    <n v="11"/>
  </r>
  <r>
    <s v="Tejeda, Lenora "/>
    <n v="10146"/>
    <x v="2"/>
    <x v="270"/>
    <x v="1"/>
    <x v="1"/>
    <x v="0"/>
    <x v="0"/>
    <x v="37"/>
    <x v="81"/>
    <x v="4"/>
    <x v="1"/>
    <s v="Production       "/>
    <x v="3"/>
    <n v="16"/>
    <x v="2"/>
    <x v="1"/>
    <n v="3.93"/>
    <x v="1"/>
    <s v="Fair"/>
    <x v="122"/>
    <n v="3"/>
  </r>
  <r>
    <s v="Terry, Sharlene "/>
    <n v="10161"/>
    <x v="11"/>
    <x v="271"/>
    <x v="1"/>
    <x v="0"/>
    <x v="0"/>
    <x v="1"/>
    <x v="23"/>
    <x v="0"/>
    <x v="0"/>
    <x v="0"/>
    <s v="Sales"/>
    <x v="16"/>
    <n v="21"/>
    <x v="1"/>
    <x v="1"/>
    <n v="3.69"/>
    <x v="1"/>
    <s v="Fair"/>
    <x v="41"/>
    <n v="18"/>
  </r>
  <r>
    <s v="Theamstern, Sophia"/>
    <n v="10141"/>
    <x v="0"/>
    <x v="272"/>
    <x v="1"/>
    <x v="0"/>
    <x v="0"/>
    <x v="0"/>
    <x v="2"/>
    <x v="82"/>
    <x v="3"/>
    <x v="1"/>
    <s v="Production       "/>
    <x v="5"/>
    <n v="11"/>
    <x v="1"/>
    <x v="1"/>
    <n v="3.98"/>
    <x v="2"/>
    <s v="Good"/>
    <x v="123"/>
    <n v="1"/>
  </r>
  <r>
    <s v="Thibaud, Kenneth"/>
    <n v="10268"/>
    <x v="2"/>
    <x v="273"/>
    <x v="0"/>
    <x v="3"/>
    <x v="0"/>
    <x v="0"/>
    <x v="95"/>
    <x v="83"/>
    <x v="12"/>
    <x v="1"/>
    <s v="Production       "/>
    <x v="4"/>
    <n v="39"/>
    <x v="8"/>
    <x v="1"/>
    <n v="4.0999999999999996"/>
    <x v="2"/>
    <s v="Good"/>
    <x v="124"/>
    <n v="15"/>
  </r>
  <r>
    <s v="Tippett, Jeanette"/>
    <n v="10123"/>
    <x v="0"/>
    <x v="274"/>
    <x v="1"/>
    <x v="2"/>
    <x v="0"/>
    <x v="1"/>
    <x v="96"/>
    <x v="0"/>
    <x v="0"/>
    <x v="0"/>
    <s v="Production       "/>
    <x v="8"/>
    <n v="12"/>
    <x v="1"/>
    <x v="1"/>
    <n v="4.21"/>
    <x v="0"/>
    <s v="Very Good"/>
    <x v="15"/>
    <n v="4"/>
  </r>
  <r>
    <s v="Torrence, Jack"/>
    <n v="10013"/>
    <x v="11"/>
    <x v="275"/>
    <x v="0"/>
    <x v="4"/>
    <x v="0"/>
    <x v="0"/>
    <x v="97"/>
    <x v="0"/>
    <x v="0"/>
    <x v="0"/>
    <s v="Sales"/>
    <x v="16"/>
    <n v="21"/>
    <x v="1"/>
    <x v="0"/>
    <n v="4.0999999999999996"/>
    <x v="1"/>
    <s v="Fair"/>
    <x v="49"/>
    <n v="6"/>
  </r>
  <r>
    <s v="Trang, Mei"/>
    <n v="10287"/>
    <x v="0"/>
    <x v="276"/>
    <x v="1"/>
    <x v="0"/>
    <x v="0"/>
    <x v="0"/>
    <x v="20"/>
    <x v="0"/>
    <x v="0"/>
    <x v="0"/>
    <s v="Production       "/>
    <x v="10"/>
    <n v="14"/>
    <x v="0"/>
    <x v="2"/>
    <n v="2.44"/>
    <x v="0"/>
    <s v="Very Good"/>
    <x v="72"/>
    <n v="18"/>
  </r>
  <r>
    <s v="Tredinnick, Neville "/>
    <n v="10044"/>
    <x v="19"/>
    <x v="277"/>
    <x v="0"/>
    <x v="1"/>
    <x v="0"/>
    <x v="0"/>
    <x v="9"/>
    <x v="84"/>
    <x v="16"/>
    <x v="1"/>
    <s v="IT/IS"/>
    <x v="9"/>
    <n v="7"/>
    <x v="6"/>
    <x v="1"/>
    <n v="5"/>
    <x v="1"/>
    <s v="Fair"/>
    <x v="75"/>
    <n v="11"/>
  </r>
  <r>
    <s v="True, Edward"/>
    <n v="10102"/>
    <x v="3"/>
    <x v="278"/>
    <x v="0"/>
    <x v="0"/>
    <x v="2"/>
    <x v="1"/>
    <x v="96"/>
    <x v="85"/>
    <x v="16"/>
    <x v="1"/>
    <s v="Software Engineering"/>
    <x v="6"/>
    <n v="10"/>
    <x v="4"/>
    <x v="1"/>
    <n v="4.5999999999999996"/>
    <x v="1"/>
    <s v="Fair"/>
    <x v="125"/>
    <n v="9"/>
  </r>
  <r>
    <s v="Trzeciak, Cybil"/>
    <n v="10270"/>
    <x v="2"/>
    <x v="279"/>
    <x v="1"/>
    <x v="0"/>
    <x v="0"/>
    <x v="0"/>
    <x v="10"/>
    <x v="86"/>
    <x v="5"/>
    <x v="1"/>
    <s v="Production       "/>
    <x v="5"/>
    <n v="11"/>
    <x v="0"/>
    <x v="1"/>
    <n v="4.4000000000000004"/>
    <x v="1"/>
    <s v="Fair"/>
    <x v="126"/>
    <n v="5"/>
  </r>
  <r>
    <s v="Turpin, Jumil"/>
    <n v="10045"/>
    <x v="19"/>
    <x v="280"/>
    <x v="0"/>
    <x v="1"/>
    <x v="1"/>
    <x v="0"/>
    <x v="1"/>
    <x v="0"/>
    <x v="0"/>
    <x v="0"/>
    <s v="IT/IS"/>
    <x v="9"/>
    <n v="7"/>
    <x v="3"/>
    <x v="1"/>
    <n v="5"/>
    <x v="2"/>
    <s v="Good"/>
    <x v="15"/>
    <n v="8"/>
  </r>
  <r>
    <s v="Valentin,Jackie"/>
    <n v="10205"/>
    <x v="11"/>
    <x v="281"/>
    <x v="1"/>
    <x v="1"/>
    <x v="0"/>
    <x v="2"/>
    <x v="2"/>
    <x v="0"/>
    <x v="0"/>
    <x v="0"/>
    <s v="Sales"/>
    <x v="14"/>
    <n v="17"/>
    <x v="1"/>
    <x v="1"/>
    <n v="2.81"/>
    <x v="1"/>
    <s v="Fair"/>
    <x v="0"/>
    <n v="16"/>
  </r>
  <r>
    <s v="Veera, Abdellah "/>
    <n v="10014"/>
    <x v="0"/>
    <x v="282"/>
    <x v="0"/>
    <x v="2"/>
    <x v="0"/>
    <x v="0"/>
    <x v="60"/>
    <x v="87"/>
    <x v="15"/>
    <x v="1"/>
    <s v="Production       "/>
    <x v="2"/>
    <n v="20"/>
    <x v="0"/>
    <x v="0"/>
    <n v="4.5"/>
    <x v="0"/>
    <s v="Very Good"/>
    <x v="4"/>
    <n v="15"/>
  </r>
  <r>
    <s v="Vega, Vincent"/>
    <n v="10144"/>
    <x v="9"/>
    <x v="283"/>
    <x v="0"/>
    <x v="2"/>
    <x v="0"/>
    <x v="0"/>
    <x v="98"/>
    <x v="0"/>
    <x v="0"/>
    <x v="0"/>
    <s v="Production       "/>
    <x v="13"/>
    <n v="2"/>
    <x v="3"/>
    <x v="1"/>
    <n v="3.93"/>
    <x v="1"/>
    <s v="Fair"/>
    <x v="19"/>
    <n v="19"/>
  </r>
  <r>
    <s v="Villanueva, Noah"/>
    <n v="10253"/>
    <x v="11"/>
    <x v="284"/>
    <x v="0"/>
    <x v="0"/>
    <x v="0"/>
    <x v="3"/>
    <x v="26"/>
    <x v="0"/>
    <x v="0"/>
    <x v="0"/>
    <s v="Sales"/>
    <x v="14"/>
    <n v="17"/>
    <x v="7"/>
    <x v="1"/>
    <n v="4.5"/>
    <x v="2"/>
    <s v="Good"/>
    <x v="48"/>
    <n v="11"/>
  </r>
  <r>
    <s v="Voldemort, Lord"/>
    <n v="10118"/>
    <x v="6"/>
    <x v="285"/>
    <x v="0"/>
    <x v="1"/>
    <x v="0"/>
    <x v="1"/>
    <x v="21"/>
    <x v="88"/>
    <x v="13"/>
    <x v="2"/>
    <s v="IT/IS"/>
    <x v="1"/>
    <n v="4"/>
    <x v="3"/>
    <x v="1"/>
    <n v="4.33"/>
    <x v="1"/>
    <s v="Fair"/>
    <x v="127"/>
    <n v="9"/>
  </r>
  <r>
    <s v="Volk, Colleen"/>
    <n v="10022"/>
    <x v="0"/>
    <x v="286"/>
    <x v="1"/>
    <x v="1"/>
    <x v="0"/>
    <x v="0"/>
    <x v="65"/>
    <x v="89"/>
    <x v="17"/>
    <x v="2"/>
    <s v="Production       "/>
    <x v="11"/>
    <n v="18"/>
    <x v="2"/>
    <x v="0"/>
    <n v="4.3"/>
    <x v="0"/>
    <s v="Very Good"/>
    <x v="128"/>
    <n v="18"/>
  </r>
  <r>
    <s v="Von Massenbach, Anna"/>
    <n v="10183"/>
    <x v="0"/>
    <x v="287"/>
    <x v="1"/>
    <x v="0"/>
    <x v="0"/>
    <x v="0"/>
    <x v="99"/>
    <x v="0"/>
    <x v="0"/>
    <x v="0"/>
    <s v="Production       "/>
    <x v="0"/>
    <n v="22"/>
    <x v="0"/>
    <x v="1"/>
    <n v="3.21"/>
    <x v="1"/>
    <s v="Fair"/>
    <x v="47"/>
    <n v="7"/>
  </r>
  <r>
    <s v="Walker, Roger"/>
    <n v="10190"/>
    <x v="2"/>
    <x v="288"/>
    <x v="0"/>
    <x v="0"/>
    <x v="0"/>
    <x v="1"/>
    <x v="30"/>
    <x v="0"/>
    <x v="0"/>
    <x v="0"/>
    <s v="Production       "/>
    <x v="7"/>
    <n v="19"/>
    <x v="3"/>
    <x v="1"/>
    <n v="3.11"/>
    <x v="0"/>
    <s v="Very Good"/>
    <x v="31"/>
    <n v="4"/>
  </r>
  <r>
    <s v="Wallace, Courtney  E"/>
    <n v="10274"/>
    <x v="9"/>
    <x v="289"/>
    <x v="1"/>
    <x v="1"/>
    <x v="0"/>
    <x v="1"/>
    <x v="65"/>
    <x v="90"/>
    <x v="4"/>
    <x v="1"/>
    <s v="Production       "/>
    <x v="13"/>
    <n v="2"/>
    <x v="4"/>
    <x v="1"/>
    <n v="4.5"/>
    <x v="1"/>
    <s v="Fair"/>
    <x v="129"/>
    <n v="5"/>
  </r>
  <r>
    <s v="Wallace, Theresa"/>
    <n v="10293"/>
    <x v="0"/>
    <x v="290"/>
    <x v="1"/>
    <x v="0"/>
    <x v="0"/>
    <x v="0"/>
    <x v="60"/>
    <x v="91"/>
    <x v="1"/>
    <x v="1"/>
    <s v="Production       "/>
    <x v="3"/>
    <n v="16"/>
    <x v="6"/>
    <x v="2"/>
    <n v="2.5"/>
    <x v="1"/>
    <s v="Fair"/>
    <x v="130"/>
    <n v="13"/>
  </r>
  <r>
    <s v="Wang, Charlie"/>
    <n v="10172"/>
    <x v="24"/>
    <x v="291"/>
    <x v="0"/>
    <x v="0"/>
    <x v="0"/>
    <x v="3"/>
    <x v="46"/>
    <x v="0"/>
    <x v="0"/>
    <x v="0"/>
    <s v="IT/IS"/>
    <x v="19"/>
    <n v="13"/>
    <x v="1"/>
    <x v="1"/>
    <n v="3.42"/>
    <x v="2"/>
    <s v="Good"/>
    <x v="49"/>
    <n v="17"/>
  </r>
  <r>
    <s v="Warfield, Sarah"/>
    <n v="10127"/>
    <x v="15"/>
    <x v="292"/>
    <x v="1"/>
    <x v="3"/>
    <x v="0"/>
    <x v="3"/>
    <x v="1"/>
    <x v="0"/>
    <x v="0"/>
    <x v="0"/>
    <s v="IT/IS"/>
    <x v="9"/>
    <n v="7"/>
    <x v="3"/>
    <x v="1"/>
    <n v="4.2"/>
    <x v="2"/>
    <s v="Good"/>
    <x v="131"/>
    <n v="7"/>
  </r>
  <r>
    <s v="Whittier, Scott"/>
    <n v="10072"/>
    <x v="0"/>
    <x v="293"/>
    <x v="0"/>
    <x v="0"/>
    <x v="0"/>
    <x v="0"/>
    <x v="10"/>
    <x v="92"/>
    <x v="2"/>
    <x v="1"/>
    <s v="Production       "/>
    <x v="4"/>
    <n v="39"/>
    <x v="0"/>
    <x v="1"/>
    <n v="5"/>
    <x v="0"/>
    <s v="Very Good"/>
    <x v="132"/>
    <n v="11"/>
  </r>
  <r>
    <s v="Wilber, Barry"/>
    <n v="10048"/>
    <x v="0"/>
    <x v="59"/>
    <x v="0"/>
    <x v="1"/>
    <x v="1"/>
    <x v="0"/>
    <x v="37"/>
    <x v="59"/>
    <x v="5"/>
    <x v="1"/>
    <s v="Production       "/>
    <x v="5"/>
    <n v="11"/>
    <x v="7"/>
    <x v="1"/>
    <n v="5"/>
    <x v="1"/>
    <s v="Fair"/>
    <x v="82"/>
    <n v="7"/>
  </r>
  <r>
    <s v="Wilkes, Annie"/>
    <n v="10204"/>
    <x v="0"/>
    <x v="294"/>
    <x v="1"/>
    <x v="2"/>
    <x v="0"/>
    <x v="0"/>
    <x v="10"/>
    <x v="93"/>
    <x v="4"/>
    <x v="1"/>
    <s v="Production       "/>
    <x v="7"/>
    <n v="19"/>
    <x v="2"/>
    <x v="1"/>
    <n v="3.6"/>
    <x v="0"/>
    <s v="Very Good"/>
    <x v="133"/>
    <n v="9"/>
  </r>
  <r>
    <s v="Williams, Jacquelyn  "/>
    <n v="10264"/>
    <x v="0"/>
    <x v="295"/>
    <x v="1"/>
    <x v="0"/>
    <x v="0"/>
    <x v="1"/>
    <x v="5"/>
    <x v="94"/>
    <x v="10"/>
    <x v="1"/>
    <s v="Production       "/>
    <x v="7"/>
    <n v="19"/>
    <x v="4"/>
    <x v="1"/>
    <n v="4.3"/>
    <x v="2"/>
    <s v="Good"/>
    <x v="134"/>
    <n v="16"/>
  </r>
  <r>
    <s v="Winthrop, Jordan  "/>
    <n v="10033"/>
    <x v="2"/>
    <x v="296"/>
    <x v="0"/>
    <x v="0"/>
    <x v="0"/>
    <x v="0"/>
    <x v="47"/>
    <x v="95"/>
    <x v="9"/>
    <x v="1"/>
    <s v="Production       "/>
    <x v="8"/>
    <n v="12"/>
    <x v="0"/>
    <x v="0"/>
    <n v="5"/>
    <x v="1"/>
    <s v="Fair"/>
    <x v="135"/>
    <n v="7"/>
  </r>
  <r>
    <s v="Wolk, Hang  T"/>
    <n v="10174"/>
    <x v="2"/>
    <x v="297"/>
    <x v="1"/>
    <x v="0"/>
    <x v="0"/>
    <x v="0"/>
    <x v="23"/>
    <x v="0"/>
    <x v="0"/>
    <x v="0"/>
    <s v="Production       "/>
    <x v="10"/>
    <n v="14"/>
    <x v="0"/>
    <x v="1"/>
    <n v="3.4"/>
    <x v="2"/>
    <s v="Good"/>
    <x v="28"/>
    <n v="14"/>
  </r>
  <r>
    <s v="Woodson, Jason"/>
    <n v="10135"/>
    <x v="2"/>
    <x v="298"/>
    <x v="0"/>
    <x v="0"/>
    <x v="0"/>
    <x v="0"/>
    <x v="17"/>
    <x v="0"/>
    <x v="0"/>
    <x v="0"/>
    <s v="Production       "/>
    <x v="2"/>
    <n v="20"/>
    <x v="0"/>
    <x v="1"/>
    <n v="4.07"/>
    <x v="2"/>
    <s v="Good"/>
    <x v="37"/>
    <n v="13"/>
  </r>
  <r>
    <s v="Ybarra, Catherine "/>
    <n v="10301"/>
    <x v="0"/>
    <x v="299"/>
    <x v="1"/>
    <x v="0"/>
    <x v="0"/>
    <x v="3"/>
    <x v="100"/>
    <x v="96"/>
    <x v="4"/>
    <x v="1"/>
    <s v="Production       "/>
    <x v="8"/>
    <n v="12"/>
    <x v="2"/>
    <x v="3"/>
    <n v="3.2"/>
    <x v="3"/>
    <s v="Poor"/>
    <x v="136"/>
    <n v="4"/>
  </r>
  <r>
    <s v="Zamora, Jennifer"/>
    <n v="10010"/>
    <x v="31"/>
    <x v="300"/>
    <x v="1"/>
    <x v="0"/>
    <x v="0"/>
    <x v="0"/>
    <x v="101"/>
    <x v="0"/>
    <x v="0"/>
    <x v="0"/>
    <s v="IT/IS"/>
    <x v="13"/>
    <n v="2"/>
    <x v="3"/>
    <x v="0"/>
    <n v="4.5999999999999996"/>
    <x v="0"/>
    <s v="Very Good"/>
    <x v="28"/>
    <n v="16"/>
  </r>
  <r>
    <s v="Zhou, Julia"/>
    <n v="10043"/>
    <x v="5"/>
    <x v="301"/>
    <x v="1"/>
    <x v="0"/>
    <x v="0"/>
    <x v="0"/>
    <x v="1"/>
    <x v="0"/>
    <x v="0"/>
    <x v="0"/>
    <s v="IT/IS"/>
    <x v="1"/>
    <n v="4"/>
    <x v="3"/>
    <x v="1"/>
    <n v="5"/>
    <x v="1"/>
    <s v="Fair"/>
    <x v="25"/>
    <n v="11"/>
  </r>
  <r>
    <s v="Zima, Colleen"/>
    <n v="10271"/>
    <x v="0"/>
    <x v="302"/>
    <x v="1"/>
    <x v="3"/>
    <x v="0"/>
    <x v="3"/>
    <x v="23"/>
    <x v="0"/>
    <x v="0"/>
    <x v="0"/>
    <s v="Production       "/>
    <x v="10"/>
    <n v="14"/>
    <x v="0"/>
    <x v="1"/>
    <n v="4.5"/>
    <x v="0"/>
    <s v="Very Good"/>
    <x v="3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8B543-00F6-456C-894C-ECAE70712DF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20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axis="axisRow" showAll="0" sortType="descending">
      <items count="19">
        <item x="4"/>
        <item x="6"/>
        <item x="1"/>
        <item x="14"/>
        <item x="17"/>
        <item x="2"/>
        <item x="8"/>
        <item x="15"/>
        <item x="16"/>
        <item x="12"/>
        <item x="11"/>
        <item x="0"/>
        <item x="13"/>
        <item x="7"/>
        <item x="10"/>
        <item x="9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0"/>
  </rowFields>
  <rowItems count="19">
    <i>
      <x v="11"/>
    </i>
    <i>
      <x/>
    </i>
    <i>
      <x v="17"/>
    </i>
    <i>
      <x v="10"/>
    </i>
    <i>
      <x v="1"/>
    </i>
    <i>
      <x v="2"/>
    </i>
    <i>
      <x v="5"/>
    </i>
    <i>
      <x v="14"/>
    </i>
    <i>
      <x v="9"/>
    </i>
    <i>
      <x v="16"/>
    </i>
    <i>
      <x v="13"/>
    </i>
    <i>
      <x v="12"/>
    </i>
    <i>
      <x v="15"/>
    </i>
    <i>
      <x v="7"/>
    </i>
    <i>
      <x v="8"/>
    </i>
    <i>
      <x v="4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7D2A4-B4A9-48B1-9507-90870A140AA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3:K27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7E7CB-EE2A-4014-BE60-204C4649036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:S23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axis="axisRow" showAll="0" sortType="descending">
      <items count="22">
        <item x="6"/>
        <item x="5"/>
        <item x="20"/>
        <item x="12"/>
        <item x="8"/>
        <item x="19"/>
        <item x="10"/>
        <item x="18"/>
        <item x="3"/>
        <item x="17"/>
        <item x="13"/>
        <item x="15"/>
        <item x="14"/>
        <item x="11"/>
        <item x="7"/>
        <item x="2"/>
        <item x="16"/>
        <item x="0"/>
        <item x="9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3"/>
  </rowFields>
  <rowItems count="22">
    <i>
      <x v="13"/>
    </i>
    <i>
      <x v="20"/>
    </i>
    <i>
      <x v="17"/>
    </i>
    <i>
      <x v="15"/>
    </i>
    <i>
      <x v="6"/>
    </i>
    <i>
      <x v="4"/>
    </i>
    <i>
      <x v="8"/>
    </i>
    <i>
      <x v="1"/>
    </i>
    <i>
      <x v="10"/>
    </i>
    <i>
      <x v="14"/>
    </i>
    <i>
      <x v="12"/>
    </i>
    <i>
      <x v="19"/>
    </i>
    <i>
      <x v="18"/>
    </i>
    <i>
      <x v="16"/>
    </i>
    <i>
      <x v="5"/>
    </i>
    <i>
      <x/>
    </i>
    <i>
      <x v="11"/>
    </i>
    <i>
      <x v="3"/>
    </i>
    <i>
      <x v="9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3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76221-AFB4-47F0-B602-A6DC67ECA9B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12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axis="axisRow" showAll="0" sortType="descending">
      <items count="6">
        <item x="2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5"/>
  </rowFields>
  <rowItems count="6">
    <i>
      <x v="1"/>
    </i>
    <i>
      <x v="3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02B9C-0B12-4AE6-B57C-C3AF2B904299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2:K48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61D43-2469-44EF-A965-FD5AF79618BA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:AE128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axis="axisRow" showAll="0" sortType="descending">
      <items count="98">
        <item x="74"/>
        <item x="21"/>
        <item x="48"/>
        <item x="27"/>
        <item x="75"/>
        <item x="76"/>
        <item x="67"/>
        <item x="56"/>
        <item x="40"/>
        <item x="85"/>
        <item x="69"/>
        <item x="22"/>
        <item x="61"/>
        <item x="51"/>
        <item x="7"/>
        <item x="81"/>
        <item x="20"/>
        <item x="6"/>
        <item x="88"/>
        <item x="4"/>
        <item x="28"/>
        <item x="53"/>
        <item x="17"/>
        <item x="5"/>
        <item x="49"/>
        <item x="3"/>
        <item x="82"/>
        <item x="1"/>
        <item x="18"/>
        <item x="55"/>
        <item x="65"/>
        <item x="24"/>
        <item x="60"/>
        <item x="41"/>
        <item x="95"/>
        <item x="10"/>
        <item x="84"/>
        <item x="89"/>
        <item x="87"/>
        <item x="73"/>
        <item x="70"/>
        <item x="35"/>
        <item x="45"/>
        <item x="14"/>
        <item x="50"/>
        <item x="19"/>
        <item x="77"/>
        <item x="63"/>
        <item x="96"/>
        <item x="62"/>
        <item x="8"/>
        <item x="59"/>
        <item x="29"/>
        <item x="91"/>
        <item x="68"/>
        <item x="80"/>
        <item x="94"/>
        <item x="30"/>
        <item x="43"/>
        <item x="38"/>
        <item x="78"/>
        <item x="31"/>
        <item x="34"/>
        <item x="54"/>
        <item x="11"/>
        <item x="13"/>
        <item x="86"/>
        <item x="92"/>
        <item x="42"/>
        <item x="9"/>
        <item x="46"/>
        <item x="58"/>
        <item x="33"/>
        <item x="44"/>
        <item x="79"/>
        <item x="57"/>
        <item x="25"/>
        <item x="36"/>
        <item x="12"/>
        <item x="23"/>
        <item x="47"/>
        <item x="39"/>
        <item x="64"/>
        <item x="26"/>
        <item x="15"/>
        <item x="66"/>
        <item x="2"/>
        <item x="52"/>
        <item x="93"/>
        <item x="37"/>
        <item x="72"/>
        <item x="90"/>
        <item x="71"/>
        <item x="16"/>
        <item x="32"/>
        <item x="83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sortType="de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30"/>
    <field x="9"/>
  </rowFields>
  <rowItems count="127">
    <i>
      <x v="6"/>
    </i>
    <i r="1">
      <x v="2"/>
    </i>
    <i r="1">
      <x v="3"/>
    </i>
    <i r="1">
      <x v="4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2"/>
    </i>
    <i r="1">
      <x v="25"/>
    </i>
    <i r="1">
      <x v="26"/>
    </i>
    <i r="1">
      <x v="28"/>
    </i>
    <i r="1">
      <x v="31"/>
    </i>
    <i r="1">
      <x v="33"/>
    </i>
    <i r="1">
      <x v="37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7"/>
    </i>
    <i r="1">
      <x v="49"/>
    </i>
    <i r="1">
      <x v="51"/>
    </i>
    <i r="1">
      <x v="54"/>
    </i>
    <i r="1">
      <x v="58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6"/>
    </i>
    <i r="1">
      <x v="77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6"/>
    </i>
    <i>
      <x v="9"/>
    </i>
    <i r="1">
      <x v="3"/>
    </i>
    <i r="1">
      <x v="7"/>
    </i>
    <i r="1">
      <x v="11"/>
    </i>
    <i r="1">
      <x v="32"/>
    </i>
    <i r="1">
      <x v="35"/>
    </i>
    <i r="1">
      <x v="50"/>
    </i>
    <i r="1">
      <x v="52"/>
    </i>
    <i r="1">
      <x v="96"/>
    </i>
    <i>
      <x v="7"/>
    </i>
    <i r="1">
      <x v="1"/>
    </i>
    <i r="1">
      <x v="13"/>
    </i>
    <i r="1">
      <x v="17"/>
    </i>
    <i r="1">
      <x v="21"/>
    </i>
    <i r="1">
      <x v="23"/>
    </i>
    <i r="1">
      <x v="38"/>
    </i>
    <i r="1">
      <x v="41"/>
    </i>
    <i r="1">
      <x v="45"/>
    </i>
    <i r="1">
      <x v="53"/>
    </i>
    <i r="1">
      <x v="56"/>
    </i>
    <i r="1">
      <x v="57"/>
    </i>
    <i r="1">
      <x v="62"/>
    </i>
    <i r="1">
      <x v="75"/>
    </i>
    <i r="1">
      <x v="77"/>
    </i>
    <i r="1">
      <x v="78"/>
    </i>
    <i r="1">
      <x v="80"/>
    </i>
    <i r="1">
      <x v="96"/>
    </i>
    <i>
      <x v="8"/>
    </i>
    <i r="1">
      <x v="9"/>
    </i>
    <i r="1">
      <x v="24"/>
    </i>
    <i r="1">
      <x v="29"/>
    </i>
    <i r="1">
      <x v="34"/>
    </i>
    <i r="1">
      <x v="55"/>
    </i>
    <i r="1">
      <x v="64"/>
    </i>
    <i r="1">
      <x v="70"/>
    </i>
    <i r="1">
      <x v="96"/>
    </i>
    <i>
      <x v="10"/>
    </i>
    <i r="1">
      <x/>
    </i>
    <i r="1">
      <x v="18"/>
    </i>
    <i r="1">
      <x v="27"/>
    </i>
    <i r="1">
      <x v="36"/>
    </i>
    <i r="1">
      <x v="46"/>
    </i>
    <i r="1">
      <x v="59"/>
    </i>
    <i r="1">
      <x v="61"/>
    </i>
    <i r="1">
      <x v="96"/>
    </i>
    <i>
      <x v="11"/>
    </i>
    <i r="1">
      <x v="96"/>
    </i>
    <i>
      <x v="5"/>
    </i>
    <i r="1">
      <x v="30"/>
    </i>
    <i r="1">
      <x v="93"/>
    </i>
    <i r="1">
      <x v="94"/>
    </i>
    <i r="1">
      <x v="96"/>
    </i>
    <i>
      <x v="4"/>
    </i>
    <i r="1">
      <x v="5"/>
    </i>
    <i r="1">
      <x v="60"/>
    </i>
    <i r="1">
      <x v="81"/>
    </i>
    <i r="1">
      <x v="96"/>
    </i>
    <i>
      <x v="12"/>
    </i>
    <i r="1">
      <x v="96"/>
    </i>
    <i>
      <x v="3"/>
    </i>
    <i r="1">
      <x v="48"/>
    </i>
    <i r="1">
      <x v="96"/>
    </i>
    <i>
      <x v="2"/>
    </i>
    <i r="1">
      <x v="95"/>
    </i>
    <i r="1">
      <x v="96"/>
    </i>
    <i>
      <x v="13"/>
    </i>
    <i r="1">
      <x v="96"/>
    </i>
    <i>
      <x v="1"/>
    </i>
    <i r="1">
      <x v="9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" fld="2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EF4D7-7F79-49C2-B674-9B3A657E180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:AH99" firstHeaderRow="1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axis="axisRow" showAll="0">
      <items count="98">
        <item x="0"/>
        <item x="83"/>
        <item x="32"/>
        <item x="16"/>
        <item x="71"/>
        <item x="90"/>
        <item x="72"/>
        <item x="37"/>
        <item x="93"/>
        <item x="52"/>
        <item x="2"/>
        <item x="66"/>
        <item x="15"/>
        <item x="26"/>
        <item x="64"/>
        <item x="39"/>
        <item x="47"/>
        <item x="23"/>
        <item x="12"/>
        <item x="36"/>
        <item x="25"/>
        <item x="57"/>
        <item x="79"/>
        <item x="44"/>
        <item x="33"/>
        <item x="58"/>
        <item x="46"/>
        <item x="9"/>
        <item x="42"/>
        <item x="92"/>
        <item x="86"/>
        <item x="13"/>
        <item x="11"/>
        <item x="54"/>
        <item x="34"/>
        <item x="31"/>
        <item x="78"/>
        <item x="38"/>
        <item x="43"/>
        <item x="30"/>
        <item x="94"/>
        <item x="80"/>
        <item x="68"/>
        <item x="91"/>
        <item x="29"/>
        <item x="59"/>
        <item x="8"/>
        <item x="62"/>
        <item x="96"/>
        <item x="63"/>
        <item x="77"/>
        <item x="19"/>
        <item x="50"/>
        <item x="14"/>
        <item x="45"/>
        <item x="35"/>
        <item x="70"/>
        <item x="73"/>
        <item x="87"/>
        <item x="89"/>
        <item x="84"/>
        <item x="10"/>
        <item x="95"/>
        <item x="41"/>
        <item x="60"/>
        <item x="24"/>
        <item x="65"/>
        <item x="55"/>
        <item x="18"/>
        <item x="1"/>
        <item x="82"/>
        <item x="3"/>
        <item x="49"/>
        <item x="5"/>
        <item x="17"/>
        <item x="53"/>
        <item x="28"/>
        <item x="4"/>
        <item x="88"/>
        <item x="6"/>
        <item x="20"/>
        <item x="81"/>
        <item x="7"/>
        <item x="51"/>
        <item x="61"/>
        <item x="22"/>
        <item x="69"/>
        <item x="85"/>
        <item x="40"/>
        <item x="56"/>
        <item x="67"/>
        <item x="76"/>
        <item x="75"/>
        <item x="27"/>
        <item x="48"/>
        <item x="21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9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dataFields count="1">
    <dataField name="Count of Absences" fld="2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6B2BA-25AC-4344-86B6-5E0A537E78F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40" firstHeaderRow="0" firstDataRow="1" firstDataCol="1"/>
  <pivotFields count="31">
    <pivotField showAll="0"/>
    <pivotField showAll="0"/>
    <pivotField showAll="0"/>
    <pivotField axis="axisRow"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2">
    <field x="24"/>
    <field x="3"/>
  </rowFields>
  <rowItems count="39">
    <i>
      <x v="37"/>
    </i>
    <i>
      <x v="33"/>
    </i>
    <i>
      <x v="29"/>
    </i>
    <i>
      <x v="36"/>
    </i>
    <i>
      <x v="38"/>
    </i>
    <i>
      <x v="34"/>
    </i>
    <i>
      <x v="31"/>
    </i>
    <i>
      <x v="39"/>
    </i>
    <i>
      <x v="20"/>
    </i>
    <i>
      <x v="23"/>
    </i>
    <i>
      <x v="24"/>
    </i>
    <i>
      <x v="35"/>
    </i>
    <i>
      <x v="27"/>
    </i>
    <i>
      <x v="25"/>
    </i>
    <i>
      <x v="26"/>
    </i>
    <i>
      <x v="22"/>
    </i>
    <i>
      <x v="19"/>
    </i>
    <i>
      <x v="30"/>
    </i>
    <i>
      <x v="32"/>
    </i>
    <i>
      <x v="18"/>
    </i>
    <i>
      <x v="28"/>
    </i>
    <i>
      <x v="14"/>
    </i>
    <i>
      <x v="15"/>
    </i>
    <i>
      <x v="16"/>
    </i>
    <i>
      <x v="2"/>
    </i>
    <i>
      <x v="41"/>
    </i>
    <i>
      <x v="40"/>
    </i>
    <i>
      <x v="17"/>
    </i>
    <i>
      <x v="42"/>
    </i>
    <i>
      <x v="5"/>
    </i>
    <i>
      <x v="13"/>
    </i>
    <i>
      <x v="21"/>
    </i>
    <i>
      <x v="11"/>
    </i>
    <i>
      <x v="4"/>
    </i>
    <i>
      <x v="1"/>
    </i>
    <i>
      <x v="9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23" baseItem="3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94D7E-EAA0-4851-AD1E-EA533294A9F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4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CD78E-A16E-4880-812A-E656BB7CCE0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K21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3"/>
        <item x="1"/>
        <item x="5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7"/>
  </rowFields>
  <rowItems count="7">
    <i>
      <x v="5"/>
    </i>
    <i>
      <x v="2"/>
    </i>
    <i>
      <x v="1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7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0E420-342E-479F-A8BA-7EEA011844E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34" firstHeaderRow="0" firstDataRow="1" firstDataCol="1"/>
  <pivotFields count="31">
    <pivotField showAll="0"/>
    <pivotField showAll="0"/>
    <pivotField axis="axisRow" showAll="0" sortType="descending">
      <items count="33">
        <item x="10"/>
        <item x="22"/>
        <item x="11"/>
        <item x="17"/>
        <item x="13"/>
        <item x="31"/>
        <item x="5"/>
        <item x="30"/>
        <item x="28"/>
        <item x="6"/>
        <item x="14"/>
        <item x="21"/>
        <item x="7"/>
        <item x="20"/>
        <item x="29"/>
        <item x="26"/>
        <item x="18"/>
        <item x="4"/>
        <item x="19"/>
        <item x="23"/>
        <item x="27"/>
        <item x="9"/>
        <item x="0"/>
        <item x="2"/>
        <item x="16"/>
        <item x="24"/>
        <item x="25"/>
        <item x="3"/>
        <item x="12"/>
        <item x="8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33">
    <i>
      <x v="22"/>
    </i>
    <i>
      <x v="23"/>
    </i>
    <i>
      <x v="2"/>
    </i>
    <i>
      <x v="21"/>
    </i>
    <i>
      <x v="27"/>
    </i>
    <i>
      <x v="17"/>
    </i>
    <i>
      <x v="6"/>
    </i>
    <i>
      <x v="9"/>
    </i>
    <i>
      <x v="18"/>
    </i>
    <i>
      <x v="31"/>
    </i>
    <i>
      <x v="3"/>
    </i>
    <i>
      <x v="1"/>
    </i>
    <i>
      <x v="25"/>
    </i>
    <i>
      <x v="24"/>
    </i>
    <i>
      <x/>
    </i>
    <i>
      <x v="30"/>
    </i>
    <i>
      <x v="14"/>
    </i>
    <i>
      <x v="29"/>
    </i>
    <i>
      <x v="13"/>
    </i>
    <i>
      <x v="11"/>
    </i>
    <i>
      <x v="7"/>
    </i>
    <i>
      <x v="19"/>
    </i>
    <i>
      <x v="12"/>
    </i>
    <i>
      <x v="20"/>
    </i>
    <i>
      <x v="26"/>
    </i>
    <i>
      <x v="28"/>
    </i>
    <i>
      <x v="8"/>
    </i>
    <i>
      <x v="16"/>
    </i>
    <i>
      <x v="5"/>
    </i>
    <i>
      <x v="4"/>
    </i>
    <i>
      <x v="10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5A4D8-EBEA-4E6E-AB3F-E788EC43526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W34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x="1"/>
        <item x="2"/>
        <item sd="0" x="3"/>
        <item x="4"/>
        <item x="5"/>
        <item x="6"/>
        <item x="7"/>
        <item x="8"/>
        <item x="9"/>
        <item x="10"/>
        <item sd="0" x="1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4">
    <field x="27"/>
    <field x="26"/>
    <field x="25"/>
    <field x="20"/>
  </rowFields>
  <rowItems count="33">
    <i>
      <x v="1"/>
    </i>
    <i r="1">
      <x v="3"/>
    </i>
    <i>
      <x v="2"/>
    </i>
    <i r="1">
      <x v="1"/>
    </i>
    <i r="1">
      <x v="2"/>
    </i>
    <i r="1">
      <x v="4"/>
    </i>
    <i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>
      <x v="8"/>
    </i>
    <i r="1">
      <x v="1"/>
    </i>
    <i r="1">
      <x v="2"/>
    </i>
    <i r="1">
      <x v="3"/>
    </i>
    <i>
      <x v="9"/>
    </i>
    <i r="1">
      <x v="1"/>
    </i>
    <i r="1">
      <x v="2"/>
    </i>
    <i r="1">
      <x v="3"/>
    </i>
    <i>
      <x v="10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2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3BEDF-4DA5-4DEC-8E78-119423593CE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5:S35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4"/>
        <item x="3"/>
        <item x="2"/>
        <item x="1"/>
        <item x="0"/>
        <item x="5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5"/>
  </rowFields>
  <rowItems count="10">
    <i>
      <x v="4"/>
    </i>
    <i>
      <x v="5"/>
    </i>
    <i>
      <x v="3"/>
    </i>
    <i>
      <x v="2"/>
    </i>
    <i>
      <x v="1"/>
    </i>
    <i>
      <x/>
    </i>
    <i>
      <x v="8"/>
    </i>
    <i>
      <x v="7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1728F-DFF6-46E5-86B6-3548C86BF68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9:K33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A2272-C0EB-40FA-BF1F-A07CB4C49D8B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5:K40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ences" fld="21" baseField="0" baseItem="0"/>
    <dataField name="Count of Absences2" fld="21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7DFE8-B2DC-43BE-BD01-989783D56FDE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:AA381" firstHeaderRow="0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sd="0" x="97"/>
        <item sd="0" x="82"/>
        <item sd="0" x="95"/>
        <item sd="0" x="3"/>
        <item sd="0" x="100"/>
        <item sd="0" x="22"/>
        <item sd="0" x="41"/>
        <item sd="0" x="93"/>
        <item sd="0" x="94"/>
        <item sd="0" x="8"/>
        <item sd="0" x="88"/>
        <item sd="0" x="101"/>
        <item sd="0" x="50"/>
        <item sd="0" x="55"/>
        <item sd="0" x="40"/>
        <item sd="0" x="38"/>
        <item sd="0" x="92"/>
        <item sd="0" x="81"/>
        <item sd="0" x="44"/>
        <item sd="0" x="10"/>
        <item sd="0" x="71"/>
        <item sd="0" x="59"/>
        <item sd="0" x="79"/>
        <item sd="0" x="14"/>
        <item sd="0" x="66"/>
        <item sd="0" x="16"/>
        <item sd="0" x="53"/>
        <item sd="0" x="51"/>
        <item sd="0" x="37"/>
        <item sd="0" x="73"/>
        <item sd="0" x="90"/>
        <item sd="0" x="34"/>
        <item sd="0" x="2"/>
        <item sd="0" x="0"/>
        <item sd="0" x="4"/>
        <item sd="0" x="98"/>
        <item sd="0" x="25"/>
        <item sd="0" x="54"/>
        <item sd="0" x="65"/>
        <item sd="0" x="35"/>
        <item sd="0" x="63"/>
        <item sd="0" x="5"/>
        <item sd="0" x="75"/>
        <item sd="0" x="12"/>
        <item sd="0" x="26"/>
        <item sd="0" x="58"/>
        <item sd="0" x="11"/>
        <item sd="0" x="70"/>
        <item sd="0" x="33"/>
        <item sd="0" x="43"/>
        <item sd="0" x="67"/>
        <item sd="0" x="60"/>
        <item sd="0" x="74"/>
        <item sd="0" x="36"/>
        <item sd="0" x="13"/>
        <item sd="0" x="91"/>
        <item sd="0" x="47"/>
        <item sd="0" x="24"/>
        <item sd="0" x="84"/>
        <item sd="0" x="96"/>
        <item sd="0" x="77"/>
        <item sd="0" x="76"/>
        <item sd="0" x="18"/>
        <item sd="0" x="19"/>
        <item sd="0" x="7"/>
        <item sd="0" x="48"/>
        <item sd="0" x="64"/>
        <item sd="0" x="6"/>
        <item sd="0" x="80"/>
        <item sd="0" x="20"/>
        <item sd="0" x="28"/>
        <item sd="0" x="42"/>
        <item sd="0" x="32"/>
        <item sd="0" x="89"/>
        <item sd="0" x="17"/>
        <item sd="0" x="30"/>
        <item sd="0" x="49"/>
        <item sd="0" x="23"/>
        <item sd="0" x="86"/>
        <item sd="0" x="9"/>
        <item sd="0" x="21"/>
        <item sd="0" x="1"/>
        <item sd="0" x="87"/>
        <item sd="0" x="52"/>
        <item sd="0" x="56"/>
        <item sd="0" x="62"/>
        <item sd="0" x="99"/>
        <item sd="0" x="69"/>
        <item sd="0" x="27"/>
        <item sd="0" x="72"/>
        <item sd="0" x="61"/>
        <item sd="0" x="29"/>
        <item sd="0" x="85"/>
        <item sd="0" x="39"/>
        <item sd="0" x="15"/>
        <item sd="0" x="31"/>
        <item sd="0" x="68"/>
        <item sd="0" x="83"/>
        <item sd="0" x="78"/>
        <item sd="0" x="46"/>
        <item sd="0" x="57"/>
        <item sd="0" x="45"/>
        <item t="default"/>
      </items>
    </pivotField>
    <pivotField axis="axisRow" showAll="0">
      <items count="98">
        <item x="0"/>
        <item x="83"/>
        <item x="32"/>
        <item x="16"/>
        <item x="71"/>
        <item x="90"/>
        <item x="72"/>
        <item x="37"/>
        <item sd="0" x="93"/>
        <item x="52"/>
        <item x="2"/>
        <item x="66"/>
        <item x="15"/>
        <item x="26"/>
        <item x="64"/>
        <item x="39"/>
        <item x="47"/>
        <item x="23"/>
        <item x="12"/>
        <item x="36"/>
        <item x="25"/>
        <item x="57"/>
        <item x="79"/>
        <item x="44"/>
        <item x="33"/>
        <item x="58"/>
        <item x="46"/>
        <item x="9"/>
        <item x="42"/>
        <item x="92"/>
        <item x="86"/>
        <item x="13"/>
        <item x="11"/>
        <item x="54"/>
        <item x="34"/>
        <item x="31"/>
        <item x="78"/>
        <item x="38"/>
        <item x="43"/>
        <item x="30"/>
        <item x="94"/>
        <item x="80"/>
        <item x="68"/>
        <item x="91"/>
        <item x="29"/>
        <item x="59"/>
        <item x="8"/>
        <item x="62"/>
        <item x="96"/>
        <item x="63"/>
        <item x="77"/>
        <item x="19"/>
        <item x="50"/>
        <item x="14"/>
        <item x="45"/>
        <item x="35"/>
        <item x="70"/>
        <item x="73"/>
        <item x="87"/>
        <item x="89"/>
        <item x="84"/>
        <item x="10"/>
        <item x="95"/>
        <item x="41"/>
        <item x="60"/>
        <item x="24"/>
        <item x="65"/>
        <item x="55"/>
        <item x="18"/>
        <item x="1"/>
        <item x="82"/>
        <item x="3"/>
        <item x="49"/>
        <item x="5"/>
        <item x="17"/>
        <item x="53"/>
        <item x="28"/>
        <item x="4"/>
        <item x="88"/>
        <item x="6"/>
        <item x="20"/>
        <item x="81"/>
        <item x="7"/>
        <item x="51"/>
        <item x="61"/>
        <item x="22"/>
        <item x="69"/>
        <item x="85"/>
        <item x="40"/>
        <item x="56"/>
        <item x="67"/>
        <item x="76"/>
        <item x="75"/>
        <item x="27"/>
        <item x="48"/>
        <item x="21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3">
    <field x="20"/>
    <field x="30"/>
    <field x="9"/>
  </rowFields>
  <rowItems count="380">
    <i>
      <x/>
    </i>
    <i r="1">
      <x v="2"/>
    </i>
    <i r="2">
      <x v="1"/>
    </i>
    <i>
      <x v="1"/>
    </i>
    <i r="1">
      <x v="6"/>
    </i>
    <i>
      <x v="2"/>
    </i>
    <i r="1">
      <x v="5"/>
    </i>
    <i>
      <x v="3"/>
    </i>
    <i r="1">
      <x v="5"/>
    </i>
    <i>
      <x v="4"/>
    </i>
    <i r="1">
      <x v="6"/>
    </i>
    <i>
      <x v="5"/>
    </i>
    <i r="1">
      <x v="6"/>
    </i>
    <i>
      <x v="6"/>
    </i>
    <i r="1">
      <x v="6"/>
    </i>
    <i>
      <x v="7"/>
    </i>
    <i r="1">
      <x v="6"/>
    </i>
    <i>
      <x v="8"/>
    </i>
    <i r="1">
      <x v="4"/>
    </i>
    <i>
      <x v="9"/>
    </i>
    <i r="1">
      <x v="6"/>
    </i>
    <i>
      <x v="10"/>
    </i>
    <i r="1">
      <x v="6"/>
    </i>
    <i>
      <x v="11"/>
    </i>
    <i r="1">
      <x v="6"/>
    </i>
    <i>
      <x v="12"/>
    </i>
    <i r="1">
      <x v="6"/>
    </i>
    <i>
      <x v="13"/>
    </i>
    <i r="1">
      <x v="6"/>
    </i>
    <i>
      <x v="14"/>
    </i>
    <i r="1">
      <x v="6"/>
    </i>
    <i>
      <x v="15"/>
    </i>
    <i r="1">
      <x v="6"/>
    </i>
    <i>
      <x v="16"/>
    </i>
    <i r="1">
      <x v="6"/>
    </i>
    <i>
      <x v="17"/>
    </i>
    <i r="1">
      <x v="6"/>
    </i>
    <i>
      <x v="18"/>
    </i>
    <i r="1">
      <x v="6"/>
    </i>
    <i>
      <x v="19"/>
    </i>
    <i r="1">
      <x v="6"/>
    </i>
    <i r="1">
      <x v="7"/>
    </i>
    <i>
      <x v="20"/>
    </i>
    <i r="1">
      <x v="6"/>
    </i>
    <i>
      <x v="21"/>
    </i>
    <i r="1">
      <x v="7"/>
    </i>
    <i>
      <x v="22"/>
    </i>
    <i r="1">
      <x v="6"/>
    </i>
    <i>
      <x v="23"/>
    </i>
    <i r="1">
      <x v="6"/>
    </i>
    <i r="1">
      <x v="7"/>
    </i>
    <i>
      <x v="24"/>
    </i>
    <i r="1">
      <x v="6"/>
    </i>
    <i>
      <x v="25"/>
    </i>
    <i r="1">
      <x v="7"/>
    </i>
    <i>
      <x v="26"/>
    </i>
    <i r="1">
      <x v="6"/>
    </i>
    <i>
      <x v="27"/>
    </i>
    <i r="1">
      <x v="6"/>
    </i>
    <i>
      <x v="28"/>
    </i>
    <i r="1">
      <x v="7"/>
    </i>
    <i>
      <x v="29"/>
    </i>
    <i r="1">
      <x v="6"/>
    </i>
    <i>
      <x v="30"/>
    </i>
    <i r="1">
      <x v="6"/>
    </i>
    <i>
      <x v="31"/>
    </i>
    <i r="1">
      <x v="9"/>
    </i>
    <i>
      <x v="32"/>
    </i>
    <i r="1">
      <x v="8"/>
    </i>
    <i>
      <x v="33"/>
    </i>
    <i r="1">
      <x v="6"/>
    </i>
    <i>
      <x v="34"/>
    </i>
    <i r="1">
      <x v="6"/>
    </i>
    <i>
      <x v="35"/>
    </i>
    <i r="1">
      <x v="6"/>
    </i>
    <i>
      <x v="36"/>
    </i>
    <i r="1">
      <x v="6"/>
    </i>
    <i>
      <x v="37"/>
    </i>
    <i r="1">
      <x v="7"/>
    </i>
    <i>
      <x v="38"/>
    </i>
    <i r="1">
      <x v="7"/>
    </i>
    <i>
      <x v="39"/>
    </i>
    <i r="1">
      <x v="7"/>
    </i>
    <i>
      <x v="40"/>
    </i>
    <i r="1">
      <x v="6"/>
    </i>
    <i>
      <x v="41"/>
    </i>
    <i r="1">
      <x v="9"/>
    </i>
    <i>
      <x v="42"/>
    </i>
    <i r="1">
      <x v="7"/>
    </i>
    <i r="1">
      <x v="10"/>
    </i>
    <i>
      <x v="43"/>
    </i>
    <i r="1">
      <x v="6"/>
    </i>
    <i>
      <x v="44"/>
    </i>
    <i r="1">
      <x v="6"/>
    </i>
    <i>
      <x v="45"/>
    </i>
    <i r="1">
      <x v="6"/>
    </i>
    <i>
      <x v="46"/>
    </i>
    <i r="1">
      <x v="6"/>
    </i>
    <i>
      <x v="47"/>
    </i>
    <i r="1">
      <x v="6"/>
    </i>
    <i>
      <x v="48"/>
    </i>
    <i r="1">
      <x v="8"/>
    </i>
    <i>
      <x v="49"/>
    </i>
    <i r="1">
      <x v="5"/>
    </i>
    <i>
      <x v="50"/>
    </i>
    <i r="1">
      <x v="6"/>
    </i>
    <i>
      <x v="51"/>
    </i>
    <i r="1">
      <x v="6"/>
    </i>
    <i>
      <x v="52"/>
    </i>
    <i r="1">
      <x v="4"/>
    </i>
    <i>
      <x v="53"/>
    </i>
    <i r="1">
      <x v="10"/>
    </i>
    <i>
      <x v="54"/>
    </i>
    <i r="1">
      <x v="10"/>
    </i>
    <i>
      <x v="55"/>
    </i>
    <i r="1">
      <x v="7"/>
    </i>
    <i>
      <x v="56"/>
    </i>
    <i r="1">
      <x v="6"/>
    </i>
    <i>
      <x v="57"/>
    </i>
    <i r="1">
      <x v="6"/>
    </i>
    <i>
      <x v="58"/>
    </i>
    <i r="1">
      <x v="3"/>
    </i>
    <i>
      <x v="59"/>
    </i>
    <i r="1">
      <x v="9"/>
    </i>
    <i>
      <x v="60"/>
    </i>
    <i r="1">
      <x v="9"/>
    </i>
    <i>
      <x v="61"/>
    </i>
    <i r="1">
      <x v="8"/>
    </i>
    <i>
      <x v="62"/>
    </i>
    <i r="1">
      <x v="6"/>
    </i>
    <i>
      <x v="63"/>
    </i>
    <i r="1">
      <x v="6"/>
    </i>
    <i r="1">
      <x v="7"/>
    </i>
    <i>
      <x v="64"/>
    </i>
    <i r="1">
      <x v="6"/>
    </i>
    <i>
      <x v="65"/>
    </i>
    <i r="1">
      <x v="6"/>
    </i>
    <i>
      <x v="66"/>
    </i>
    <i r="1">
      <x v="7"/>
    </i>
    <i>
      <x v="67"/>
    </i>
    <i r="1">
      <x v="10"/>
    </i>
    <i>
      <x v="68"/>
    </i>
    <i r="1">
      <x v="6"/>
    </i>
    <i>
      <x v="69"/>
    </i>
    <i r="1">
      <x v="8"/>
    </i>
    <i>
      <x v="70"/>
    </i>
    <i r="1">
      <x v="6"/>
    </i>
    <i>
      <x v="71"/>
    </i>
    <i r="1">
      <x v="6"/>
    </i>
    <i>
      <x v="72"/>
    </i>
    <i r="1">
      <x v="6"/>
    </i>
    <i>
      <x v="73"/>
    </i>
    <i r="1">
      <x v="6"/>
    </i>
    <i>
      <x v="74"/>
    </i>
    <i r="1">
      <x v="7"/>
    </i>
    <i>
      <x v="75"/>
    </i>
    <i r="1">
      <x v="8"/>
    </i>
    <i>
      <x v="76"/>
    </i>
    <i r="1">
      <x v="9"/>
    </i>
    <i>
      <x v="77"/>
    </i>
    <i r="1">
      <x v="8"/>
    </i>
    <i>
      <x v="78"/>
    </i>
    <i r="1">
      <x v="10"/>
    </i>
    <i>
      <x v="79"/>
    </i>
    <i r="1">
      <x v="7"/>
    </i>
    <i>
      <x v="80"/>
    </i>
    <i r="1">
      <x v="7"/>
    </i>
    <i>
      <x v="81"/>
    </i>
    <i r="1">
      <x v="6"/>
    </i>
    <i>
      <x v="82"/>
    </i>
    <i r="1">
      <x v="6"/>
    </i>
    <i>
      <x v="83"/>
    </i>
    <i r="1">
      <x v="6"/>
    </i>
    <i>
      <x v="84"/>
    </i>
    <i r="1">
      <x v="6"/>
    </i>
    <i>
      <x v="85"/>
    </i>
    <i r="1">
      <x v="6"/>
    </i>
    <i>
      <x v="86"/>
    </i>
    <i r="1">
      <x v="6"/>
    </i>
    <i>
      <x v="87"/>
    </i>
    <i r="1">
      <x v="4"/>
    </i>
    <i>
      <x v="88"/>
    </i>
    <i r="1">
      <x v="10"/>
    </i>
    <i>
      <x v="89"/>
    </i>
    <i r="1">
      <x v="6"/>
    </i>
    <i>
      <x v="90"/>
    </i>
    <i r="1">
      <x v="6"/>
    </i>
    <i>
      <x v="91"/>
    </i>
    <i r="1">
      <x v="9"/>
    </i>
    <i>
      <x v="92"/>
    </i>
    <i r="1">
      <x v="6"/>
    </i>
    <i>
      <x v="93"/>
    </i>
    <i r="1">
      <x v="7"/>
    </i>
    <i>
      <x v="94"/>
    </i>
    <i r="1">
      <x v="6"/>
    </i>
    <i>
      <x v="95"/>
    </i>
    <i r="1">
      <x v="8"/>
    </i>
    <i r="1">
      <x v="9"/>
    </i>
    <i r="1">
      <x v="12"/>
    </i>
    <i>
      <x v="96"/>
    </i>
    <i r="1">
      <x v="3"/>
    </i>
    <i r="1">
      <x v="10"/>
    </i>
    <i>
      <x v="97"/>
    </i>
    <i r="1">
      <x v="1"/>
    </i>
    <i r="1">
      <x v="9"/>
    </i>
    <i r="1">
      <x v="10"/>
    </i>
    <i r="1">
      <x v="12"/>
    </i>
    <i>
      <x v="98"/>
    </i>
    <i r="1">
      <x v="6"/>
    </i>
    <i r="1">
      <x v="7"/>
    </i>
    <i r="1">
      <x v="9"/>
    </i>
    <i>
      <x v="99"/>
    </i>
    <i r="1">
      <x v="6"/>
    </i>
    <i r="1">
      <x v="8"/>
    </i>
    <i r="1">
      <x v="11"/>
    </i>
    <i>
      <x v="100"/>
    </i>
    <i r="1">
      <x v="5"/>
    </i>
    <i r="1">
      <x v="6"/>
    </i>
    <i r="1">
      <x v="8"/>
    </i>
    <i r="1">
      <x v="10"/>
    </i>
    <i>
      <x v="101"/>
    </i>
    <i r="1">
      <x v="8"/>
    </i>
    <i r="1">
      <x v="9"/>
    </i>
    <i>
      <x v="102"/>
    </i>
    <i r="1">
      <x v="5"/>
    </i>
    <i r="1">
      <x v="6"/>
    </i>
    <i r="1">
      <x v="7"/>
    </i>
    <i r="1">
      <x v="8"/>
    </i>
    <i r="1">
      <x v="10"/>
    </i>
    <i r="1">
      <x v="11"/>
    </i>
    <i>
      <x v="103"/>
    </i>
    <i r="1">
      <x v="3"/>
    </i>
    <i r="1">
      <x v="9"/>
    </i>
    <i r="1">
      <x v="10"/>
    </i>
    <i r="1">
      <x v="11"/>
    </i>
    <i>
      <x v="104"/>
    </i>
    <i r="1">
      <x v="9"/>
    </i>
    <i r="1">
      <x v="10"/>
    </i>
    <i>
      <x v="105"/>
    </i>
    <i r="1">
      <x v="6"/>
    </i>
    <i r="1">
      <x v="7"/>
    </i>
    <i r="1">
      <x v="8"/>
    </i>
    <i r="1">
      <x v="9"/>
    </i>
    <i>
      <x v="106"/>
    </i>
    <i r="1">
      <x v="7"/>
    </i>
    <i r="1">
      <x v="8"/>
    </i>
    <i r="1">
      <x v="9"/>
    </i>
    <i r="1">
      <x v="11"/>
    </i>
    <i>
      <x v="107"/>
    </i>
    <i r="1">
      <x v="7"/>
    </i>
    <i>
      <x v="108"/>
    </i>
    <i r="1">
      <x v="5"/>
    </i>
    <i r="1">
      <x v="6"/>
    </i>
    <i r="1">
      <x v="8"/>
    </i>
    <i r="1">
      <x v="9"/>
    </i>
    <i r="1">
      <x v="10"/>
    </i>
    <i r="1">
      <x v="11"/>
    </i>
    <i>
      <x v="109"/>
    </i>
    <i r="1">
      <x v="8"/>
    </i>
    <i r="1">
      <x v="10"/>
    </i>
    <i>
      <x v="110"/>
    </i>
    <i r="1">
      <x v="8"/>
    </i>
    <i r="1">
      <x v="10"/>
    </i>
    <i r="1">
      <x v="12"/>
    </i>
    <i>
      <x v="111"/>
    </i>
    <i r="1">
      <x v="4"/>
    </i>
    <i r="1">
      <x v="8"/>
    </i>
    <i r="1">
      <x v="9"/>
    </i>
    <i r="1">
      <x v="10"/>
    </i>
    <i>
      <x v="112"/>
    </i>
    <i r="1">
      <x v="4"/>
    </i>
    <i r="1">
      <x v="6"/>
    </i>
    <i r="1">
      <x v="7"/>
    </i>
    <i r="1">
      <x v="8"/>
    </i>
    <i r="1">
      <x v="10"/>
    </i>
    <i>
      <x v="113"/>
    </i>
    <i r="1">
      <x v="6"/>
    </i>
    <i>
      <x v="114"/>
    </i>
    <i r="1">
      <x v="8"/>
    </i>
    <i r="1">
      <x v="9"/>
    </i>
    <i r="1">
      <x v="10"/>
    </i>
    <i r="1">
      <x v="11"/>
    </i>
    <i r="1">
      <x v="12"/>
    </i>
    <i>
      <x v="115"/>
    </i>
    <i r="1">
      <x v="7"/>
    </i>
    <i r="1">
      <x v="10"/>
    </i>
    <i r="1">
      <x v="11"/>
    </i>
    <i>
      <x v="116"/>
    </i>
    <i r="1">
      <x v="6"/>
    </i>
    <i r="1">
      <x v="8"/>
    </i>
    <i r="1">
      <x v="9"/>
    </i>
    <i>
      <x v="117"/>
    </i>
    <i r="1">
      <x v="5"/>
    </i>
    <i r="1">
      <x v="7"/>
    </i>
    <i r="1">
      <x v="9"/>
    </i>
    <i r="1">
      <x v="13"/>
    </i>
    <i>
      <x v="118"/>
    </i>
    <i r="1">
      <x v="5"/>
    </i>
    <i r="1">
      <x v="7"/>
    </i>
    <i r="1">
      <x v="9"/>
    </i>
    <i r="1">
      <x v="10"/>
    </i>
    <i>
      <x v="119"/>
    </i>
    <i r="1">
      <x v="4"/>
    </i>
    <i r="1">
      <x v="7"/>
    </i>
    <i r="1">
      <x v="9"/>
    </i>
    <i r="1">
      <x v="10"/>
    </i>
    <i>
      <x v="120"/>
    </i>
    <i r="1">
      <x v="10"/>
    </i>
    <i>
      <x v="121"/>
    </i>
    <i r="1">
      <x v="8"/>
    </i>
    <i r="1">
      <x v="9"/>
    </i>
    <i r="1">
      <x v="11"/>
    </i>
    <i r="1">
      <x v="12"/>
    </i>
    <i>
      <x v="122"/>
    </i>
    <i r="1">
      <x v="6"/>
    </i>
    <i r="1">
      <x v="8"/>
    </i>
    <i r="1">
      <x v="9"/>
    </i>
    <i r="1">
      <x v="10"/>
    </i>
    <i>
      <x v="123"/>
    </i>
    <i r="1">
      <x v="4"/>
    </i>
    <i r="1">
      <x v="6"/>
    </i>
    <i>
      <x v="124"/>
    </i>
    <i r="1">
      <x v="6"/>
    </i>
    <i r="1">
      <x v="7"/>
    </i>
    <i r="1">
      <x v="8"/>
    </i>
    <i r="1">
      <x v="9"/>
    </i>
    <i r="1">
      <x v="10"/>
    </i>
    <i>
      <x v="125"/>
    </i>
    <i r="1">
      <x v="8"/>
    </i>
    <i r="1">
      <x v="9"/>
    </i>
    <i>
      <x v="126"/>
    </i>
    <i r="1">
      <x v="7"/>
    </i>
    <i r="1">
      <x v="8"/>
    </i>
    <i r="1">
      <x v="9"/>
    </i>
    <i>
      <x v="127"/>
    </i>
    <i r="1">
      <x v="7"/>
    </i>
    <i r="1">
      <x v="10"/>
    </i>
    <i>
      <x v="128"/>
    </i>
    <i r="1">
      <x v="8"/>
    </i>
    <i r="1">
      <x v="9"/>
    </i>
    <i>
      <x v="129"/>
    </i>
    <i r="1">
      <x v="6"/>
    </i>
    <i r="1">
      <x v="8"/>
    </i>
    <i r="1">
      <x v="9"/>
    </i>
    <i r="1">
      <x v="10"/>
    </i>
    <i r="1">
      <x v="11"/>
    </i>
    <i>
      <x v="130"/>
    </i>
    <i r="1">
      <x v="7"/>
    </i>
    <i r="1">
      <x v="9"/>
    </i>
    <i>
      <x v="131"/>
    </i>
    <i r="1">
      <x v="5"/>
    </i>
    <i r="1">
      <x v="7"/>
    </i>
    <i r="1">
      <x v="8"/>
    </i>
    <i r="1">
      <x v="9"/>
    </i>
    <i>
      <x v="132"/>
    </i>
    <i r="1">
      <x v="6"/>
    </i>
    <i r="1">
      <x v="7"/>
    </i>
    <i r="1">
      <x v="8"/>
    </i>
    <i r="1">
      <x v="9"/>
    </i>
    <i r="1">
      <x v="11"/>
    </i>
    <i>
      <x v="133"/>
    </i>
    <i r="1">
      <x v="2"/>
    </i>
    <i r="2">
      <x/>
    </i>
    <i r="1">
      <x v="6"/>
    </i>
    <i r="1">
      <x v="7"/>
    </i>
    <i r="1">
      <x v="8"/>
    </i>
    <i r="1">
      <x v="9"/>
    </i>
    <i r="1">
      <x v="10"/>
    </i>
    <i r="1">
      <x v="12"/>
    </i>
    <i>
      <x v="134"/>
    </i>
    <i r="1">
      <x v="6"/>
    </i>
    <i r="1">
      <x v="9"/>
    </i>
    <i>
      <x v="135"/>
    </i>
    <i r="1">
      <x v="6"/>
    </i>
    <i r="1">
      <x v="7"/>
    </i>
    <i r="1">
      <x v="9"/>
    </i>
    <i>
      <x v="136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bsences" fld="21" subtotal="count" baseField="29" baseItem="1"/>
    <dataField name="Sum of Absenc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135BD-2AA3-4949-845F-FC9A4626B34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7" firstHeaderRow="1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7">
        <item x="4"/>
        <item x="3"/>
        <item x="1"/>
        <item x="5"/>
        <item x="2"/>
        <item x="0"/>
        <item t="default"/>
      </items>
    </pivotField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dataField="1"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2">
    <field x="6"/>
    <field x="7"/>
  </rowFields>
  <rowItems count="16">
    <i>
      <x/>
    </i>
    <i r="1">
      <x v="1"/>
    </i>
    <i r="1">
      <x v="2"/>
    </i>
    <i r="1">
      <x v="4"/>
    </i>
    <i r="1">
      <x v="5"/>
    </i>
    <i>
      <x v="1"/>
    </i>
    <i r="1">
      <x v="2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bsenc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A6E70-F39A-44AD-9169-E2F1B3AF5462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150" firstHeaderRow="1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axis="axisRow"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sd="0"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x="2"/>
        <item sd="0" x="3"/>
        <item x="4"/>
        <item x="5"/>
      </items>
    </pivotField>
    <pivotField axis="axisRow" showAll="0" defaultSubtotal="0">
      <items count="12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sd="0" x="14"/>
      </items>
    </pivotField>
  </pivotFields>
  <rowFields count="8">
    <field x="30"/>
    <field x="27"/>
    <field x="26"/>
    <field x="25"/>
    <field x="29"/>
    <field x="20"/>
    <field x="28"/>
    <field x="8"/>
  </rowFields>
  <rowItems count="149">
    <i>
      <x v="1"/>
    </i>
    <i r="1">
      <x v="10"/>
    </i>
    <i r="2">
      <x v="1"/>
    </i>
    <i r="3">
      <x v="1"/>
    </i>
    <i r="4">
      <x v="1"/>
    </i>
    <i>
      <x v="2"/>
    </i>
    <i r="1">
      <x v="1"/>
    </i>
    <i r="1">
      <x v="10"/>
    </i>
    <i r="2">
      <x v="1"/>
    </i>
    <i r="3">
      <x v="2"/>
    </i>
    <i r="4">
      <x v="1"/>
    </i>
    <i>
      <x v="3"/>
    </i>
    <i r="1">
      <x v="6"/>
    </i>
    <i r="1">
      <x v="10"/>
    </i>
    <i r="2">
      <x v="1"/>
    </i>
    <i r="3">
      <x v="1"/>
    </i>
    <i r="4">
      <x v="1"/>
    </i>
    <i r="4">
      <x v="4"/>
    </i>
    <i>
      <x v="4"/>
    </i>
    <i r="1">
      <x v="3"/>
    </i>
    <i r="1">
      <x v="6"/>
    </i>
    <i r="1">
      <x v="9"/>
    </i>
    <i r="1">
      <x v="10"/>
    </i>
    <i r="2">
      <x v="1"/>
    </i>
    <i r="3">
      <x v="1"/>
    </i>
    <i r="4">
      <x v="1"/>
    </i>
    <i r="4">
      <x v="3"/>
    </i>
    <i r="3">
      <x v="2"/>
    </i>
    <i r="4">
      <x v="1"/>
    </i>
    <i>
      <x v="5"/>
    </i>
    <i r="1">
      <x v="2"/>
    </i>
    <i r="1">
      <x v="6"/>
    </i>
    <i r="1">
      <x v="10"/>
    </i>
    <i r="2">
      <x v="1"/>
    </i>
    <i r="3">
      <x v="1"/>
    </i>
    <i r="4">
      <x v="2"/>
    </i>
    <i r="4">
      <x v="3"/>
    </i>
    <i r="3">
      <x v="2"/>
    </i>
    <i r="4">
      <x v="2"/>
    </i>
    <i>
      <x v="6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2">
      <x v="1"/>
    </i>
    <i r="3">
      <x v="1"/>
    </i>
    <i r="4">
      <x v="1"/>
    </i>
    <i r="4">
      <x v="2"/>
    </i>
    <i r="4">
      <x v="3"/>
    </i>
    <i r="4">
      <x v="4"/>
    </i>
    <i r="3">
      <x v="2"/>
    </i>
    <i r="4">
      <x v="1"/>
    </i>
    <i r="4">
      <x v="2"/>
    </i>
    <i r="4">
      <x v="3"/>
    </i>
    <i>
      <x v="7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2">
      <x v="1"/>
    </i>
    <i r="3">
      <x v="1"/>
    </i>
    <i r="4">
      <x v="1"/>
    </i>
    <i r="4">
      <x v="2"/>
    </i>
    <i r="4">
      <x v="3"/>
    </i>
    <i r="3">
      <x v="2"/>
    </i>
    <i r="4">
      <x v="1"/>
    </i>
    <i r="4">
      <x v="2"/>
    </i>
    <i r="4">
      <x v="3"/>
    </i>
    <i r="4">
      <x v="4"/>
    </i>
    <i>
      <x v="8"/>
    </i>
    <i r="1">
      <x v="5"/>
    </i>
    <i r="1">
      <x v="6"/>
    </i>
    <i r="1">
      <x v="7"/>
    </i>
    <i r="1">
      <x v="8"/>
    </i>
    <i r="1">
      <x v="10"/>
    </i>
    <i r="2">
      <x v="1"/>
    </i>
    <i r="3">
      <x v="1"/>
    </i>
    <i r="4">
      <x v="1"/>
    </i>
    <i r="4">
      <x v="2"/>
    </i>
    <i r="4">
      <x v="3"/>
    </i>
    <i r="3">
      <x v="2"/>
    </i>
    <i r="4">
      <x v="1"/>
    </i>
    <i r="4">
      <x v="2"/>
    </i>
    <i r="4">
      <x v="3"/>
    </i>
    <i>
      <x v="9"/>
    </i>
    <i r="1">
      <x v="5"/>
    </i>
    <i r="1">
      <x v="6"/>
    </i>
    <i r="1">
      <x v="7"/>
    </i>
    <i r="1">
      <x v="8"/>
    </i>
    <i r="1">
      <x v="9"/>
    </i>
    <i r="1">
      <x v="10"/>
    </i>
    <i r="2">
      <x v="1"/>
    </i>
    <i r="3">
      <x v="1"/>
    </i>
    <i r="4">
      <x v="1"/>
    </i>
    <i r="4">
      <x v="2"/>
    </i>
    <i r="4">
      <x v="3"/>
    </i>
    <i r="3">
      <x v="2"/>
    </i>
    <i r="4">
      <x v="1"/>
    </i>
    <i r="4">
      <x v="2"/>
    </i>
    <i r="4">
      <x v="3"/>
    </i>
    <i>
      <x v="10"/>
    </i>
    <i r="1">
      <x v="6"/>
    </i>
    <i r="1">
      <x v="7"/>
    </i>
    <i r="1">
      <x v="8"/>
    </i>
    <i r="1">
      <x v="9"/>
    </i>
    <i r="1">
      <x v="10"/>
    </i>
    <i r="2">
      <x v="1"/>
    </i>
    <i r="3">
      <x v="1"/>
    </i>
    <i r="4">
      <x v="1"/>
    </i>
    <i r="4">
      <x v="2"/>
    </i>
    <i r="4">
      <x v="3"/>
    </i>
    <i r="3">
      <x v="2"/>
    </i>
    <i r="4">
      <x v="1"/>
    </i>
    <i r="4">
      <x v="2"/>
    </i>
    <i>
      <x v="11"/>
    </i>
    <i r="1">
      <x v="10"/>
    </i>
    <i r="2">
      <x v="1"/>
    </i>
    <i r="3">
      <x v="1"/>
    </i>
    <i r="4">
      <x v="1"/>
    </i>
    <i r="4">
      <x v="2"/>
    </i>
    <i r="4">
      <x v="3"/>
    </i>
    <i r="4">
      <x v="4"/>
    </i>
    <i r="3">
      <x v="2"/>
    </i>
    <i r="4">
      <x v="1"/>
    </i>
    <i r="4">
      <x v="2"/>
    </i>
    <i r="4">
      <x v="3"/>
    </i>
    <i r="4">
      <x v="4"/>
    </i>
    <i>
      <x v="12"/>
    </i>
    <i r="1">
      <x v="10"/>
    </i>
    <i r="2">
      <x v="1"/>
    </i>
    <i r="3">
      <x v="1"/>
    </i>
    <i r="4">
      <x v="1"/>
    </i>
    <i r="4">
      <x v="2"/>
    </i>
    <i r="3">
      <x v="2"/>
    </i>
    <i r="4">
      <x v="1"/>
    </i>
    <i>
      <x v="13"/>
    </i>
    <i r="1">
      <x v="10"/>
    </i>
    <i r="2">
      <x v="1"/>
    </i>
    <i r="3">
      <x v="1"/>
    </i>
    <i r="4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22CA-3E64-44B1-B7FA-5772D6DCB8FC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J16" firstHeaderRow="1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axis="axisRow"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showAll="0" defaultSubtotal="0"/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showAll="0" defaultSubtotal="0">
      <items count="14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sd="0" x="2"/>
        <item sd="0" x="3"/>
        <item sd="0" x="4"/>
        <item sd="0" x="5"/>
      </items>
    </pivotField>
    <pivotField axis="axisRow" showAll="0" defaultSubtota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sd="0" x="14"/>
      </items>
    </pivotField>
  </pivotFields>
  <rowFields count="4">
    <field x="30"/>
    <field x="29"/>
    <field x="28"/>
    <field x="8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9CB6-8586-46B8-A742-9425997F6B75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H12" firstHeaderRow="1" firstDataRow="1" firstDataCol="1"/>
  <pivotFields count="31">
    <pivotField showAll="0"/>
    <pivotField showAll="0"/>
    <pivotField showAll="0"/>
    <pivotField numFmtId="14" showAll="0">
      <items count="304">
        <item x="41"/>
        <item x="68"/>
        <item x="61"/>
        <item x="202"/>
        <item x="123"/>
        <item x="270"/>
        <item x="149"/>
        <item x="226"/>
        <item x="289"/>
        <item x="89"/>
        <item x="296"/>
        <item x="21"/>
        <item x="142"/>
        <item x="221"/>
        <item x="40"/>
        <item x="98"/>
        <item x="251"/>
        <item x="239"/>
        <item x="141"/>
        <item x="32"/>
        <item x="25"/>
        <item x="111"/>
        <item x="253"/>
        <item x="271"/>
        <item x="272"/>
        <item x="59"/>
        <item x="35"/>
        <item x="130"/>
        <item x="139"/>
        <item x="16"/>
        <item x="24"/>
        <item x="69"/>
        <item x="198"/>
        <item x="274"/>
        <item x="275"/>
        <item x="183"/>
        <item x="241"/>
        <item x="99"/>
        <item x="256"/>
        <item x="266"/>
        <item x="283"/>
        <item x="120"/>
        <item x="154"/>
        <item x="280"/>
        <item x="144"/>
        <item x="110"/>
        <item x="295"/>
        <item x="31"/>
        <item x="248"/>
        <item x="8"/>
        <item x="20"/>
        <item x="27"/>
        <item x="188"/>
        <item x="194"/>
        <item x="102"/>
        <item x="45"/>
        <item x="76"/>
        <item x="222"/>
        <item x="151"/>
        <item x="17"/>
        <item x="103"/>
        <item x="107"/>
        <item x="174"/>
        <item x="235"/>
        <item x="42"/>
        <item x="156"/>
        <item x="230"/>
        <item x="126"/>
        <item x="138"/>
        <item x="228"/>
        <item x="78"/>
        <item x="150"/>
        <item x="173"/>
        <item x="254"/>
        <item x="258"/>
        <item x="238"/>
        <item x="234"/>
        <item x="79"/>
        <item x="178"/>
        <item x="10"/>
        <item x="192"/>
        <item x="236"/>
        <item x="11"/>
        <item x="124"/>
        <item x="260"/>
        <item x="81"/>
        <item x="104"/>
        <item x="116"/>
        <item x="67"/>
        <item x="54"/>
        <item x="245"/>
        <item x="269"/>
        <item x="1"/>
        <item x="95"/>
        <item x="273"/>
        <item x="257"/>
        <item x="172"/>
        <item x="136"/>
        <item x="147"/>
        <item x="189"/>
        <item x="288"/>
        <item x="204"/>
        <item x="170"/>
        <item x="176"/>
        <item x="135"/>
        <item x="152"/>
        <item x="180"/>
        <item x="121"/>
        <item x="56"/>
        <item x="197"/>
        <item x="214"/>
        <item x="5"/>
        <item x="14"/>
        <item x="34"/>
        <item x="52"/>
        <item x="65"/>
        <item x="62"/>
        <item x="50"/>
        <item x="73"/>
        <item x="264"/>
        <item x="292"/>
        <item x="302"/>
        <item x="82"/>
        <item x="87"/>
        <item x="162"/>
        <item x="205"/>
        <item x="148"/>
        <item x="43"/>
        <item x="208"/>
        <item x="301"/>
        <item x="215"/>
        <item x="168"/>
        <item x="190"/>
        <item x="19"/>
        <item x="97"/>
        <item x="207"/>
        <item x="114"/>
        <item x="6"/>
        <item x="66"/>
        <item x="157"/>
        <item x="53"/>
        <item x="300"/>
        <item x="63"/>
        <item x="153"/>
        <item x="33"/>
        <item x="193"/>
        <item x="105"/>
        <item x="224"/>
        <item x="96"/>
        <item x="290"/>
        <item x="51"/>
        <item x="201"/>
        <item x="218"/>
        <item x="92"/>
        <item x="167"/>
        <item x="246"/>
        <item x="112"/>
        <item x="291"/>
        <item x="117"/>
        <item x="184"/>
        <item x="49"/>
        <item x="229"/>
        <item x="93"/>
        <item x="233"/>
        <item x="15"/>
        <item x="166"/>
        <item x="71"/>
        <item x="171"/>
        <item x="299"/>
        <item x="206"/>
        <item x="227"/>
        <item x="259"/>
        <item x="164"/>
        <item x="265"/>
        <item x="94"/>
        <item x="38"/>
        <item x="115"/>
        <item x="255"/>
        <item x="7"/>
        <item x="55"/>
        <item x="196"/>
        <item x="267"/>
        <item x="276"/>
        <item x="118"/>
        <item x="278"/>
        <item x="0"/>
        <item x="13"/>
        <item x="30"/>
        <item x="294"/>
        <item x="36"/>
        <item x="44"/>
        <item x="46"/>
        <item x="84"/>
        <item x="70"/>
        <item x="125"/>
        <item x="223"/>
        <item x="128"/>
        <item x="129"/>
        <item x="133"/>
        <item x="159"/>
        <item x="160"/>
        <item x="163"/>
        <item x="182"/>
        <item x="191"/>
        <item x="252"/>
        <item x="209"/>
        <item x="216"/>
        <item x="220"/>
        <item x="225"/>
        <item x="231"/>
        <item x="200"/>
        <item x="232"/>
        <item x="262"/>
        <item x="279"/>
        <item x="287"/>
        <item x="297"/>
        <item x="298"/>
        <item x="185"/>
        <item x="247"/>
        <item x="48"/>
        <item x="100"/>
        <item x="131"/>
        <item x="140"/>
        <item x="143"/>
        <item x="158"/>
        <item x="177"/>
        <item x="18"/>
        <item x="145"/>
        <item x="155"/>
        <item x="242"/>
        <item x="113"/>
        <item x="286"/>
        <item x="39"/>
        <item x="132"/>
        <item x="175"/>
        <item x="212"/>
        <item x="240"/>
        <item x="285"/>
        <item x="213"/>
        <item x="57"/>
        <item x="261"/>
        <item x="187"/>
        <item x="74"/>
        <item x="179"/>
        <item x="29"/>
        <item x="250"/>
        <item x="282"/>
        <item x="243"/>
        <item x="237"/>
        <item x="26"/>
        <item x="37"/>
        <item x="58"/>
        <item x="72"/>
        <item x="86"/>
        <item x="181"/>
        <item x="293"/>
        <item x="161"/>
        <item x="91"/>
        <item x="88"/>
        <item x="268"/>
        <item x="9"/>
        <item x="77"/>
        <item x="165"/>
        <item x="217"/>
        <item x="210"/>
        <item x="64"/>
        <item x="277"/>
        <item x="249"/>
        <item x="47"/>
        <item x="12"/>
        <item x="244"/>
        <item x="75"/>
        <item x="122"/>
        <item x="219"/>
        <item x="127"/>
        <item x="2"/>
        <item x="3"/>
        <item x="169"/>
        <item x="146"/>
        <item x="108"/>
        <item x="199"/>
        <item x="195"/>
        <item x="85"/>
        <item x="263"/>
        <item x="119"/>
        <item x="284"/>
        <item x="211"/>
        <item x="83"/>
        <item x="22"/>
        <item x="4"/>
        <item x="106"/>
        <item x="90"/>
        <item x="60"/>
        <item x="203"/>
        <item x="28"/>
        <item x="23"/>
        <item x="101"/>
        <item x="137"/>
        <item x="281"/>
        <item x="80"/>
        <item x="134"/>
        <item x="109"/>
        <item x="186"/>
        <item t="default"/>
      </items>
    </pivotField>
    <pivotField showAll="0"/>
    <pivotField showAll="0"/>
    <pivotField showAll="0"/>
    <pivotField showAll="0"/>
    <pivotField numFmtId="14" showAll="0">
      <items count="103">
        <item x="97"/>
        <item x="82"/>
        <item x="95"/>
        <item x="3"/>
        <item x="100"/>
        <item x="22"/>
        <item x="41"/>
        <item x="93"/>
        <item x="94"/>
        <item x="8"/>
        <item x="88"/>
        <item x="101"/>
        <item x="50"/>
        <item x="55"/>
        <item x="40"/>
        <item x="38"/>
        <item x="92"/>
        <item x="81"/>
        <item x="44"/>
        <item x="10"/>
        <item x="71"/>
        <item x="59"/>
        <item x="79"/>
        <item x="14"/>
        <item x="66"/>
        <item x="16"/>
        <item x="53"/>
        <item x="51"/>
        <item x="37"/>
        <item x="73"/>
        <item x="90"/>
        <item x="34"/>
        <item x="2"/>
        <item x="0"/>
        <item x="4"/>
        <item x="98"/>
        <item x="25"/>
        <item x="54"/>
        <item x="65"/>
        <item x="35"/>
        <item x="63"/>
        <item x="5"/>
        <item x="75"/>
        <item x="12"/>
        <item x="26"/>
        <item x="58"/>
        <item x="11"/>
        <item x="70"/>
        <item x="33"/>
        <item x="43"/>
        <item x="67"/>
        <item x="60"/>
        <item x="74"/>
        <item x="36"/>
        <item x="13"/>
        <item x="91"/>
        <item x="47"/>
        <item x="24"/>
        <item x="84"/>
        <item x="96"/>
        <item x="77"/>
        <item x="76"/>
        <item x="18"/>
        <item x="19"/>
        <item x="7"/>
        <item x="48"/>
        <item x="64"/>
        <item x="6"/>
        <item x="80"/>
        <item x="20"/>
        <item x="28"/>
        <item x="42"/>
        <item x="32"/>
        <item x="89"/>
        <item x="17"/>
        <item x="30"/>
        <item x="49"/>
        <item x="23"/>
        <item x="86"/>
        <item x="9"/>
        <item x="21"/>
        <item x="1"/>
        <item x="87"/>
        <item x="52"/>
        <item x="56"/>
        <item x="62"/>
        <item x="99"/>
        <item x="69"/>
        <item x="27"/>
        <item x="72"/>
        <item x="61"/>
        <item x="29"/>
        <item x="85"/>
        <item x="39"/>
        <item x="15"/>
        <item x="31"/>
        <item x="68"/>
        <item x="83"/>
        <item x="78"/>
        <item x="46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138">
        <item x="124"/>
        <item x="133"/>
        <item x="66"/>
        <item x="36"/>
        <item x="109"/>
        <item x="129"/>
        <item x="110"/>
        <item x="58"/>
        <item x="121"/>
        <item x="103"/>
        <item x="74"/>
        <item x="76"/>
        <item x="35"/>
        <item x="2"/>
        <item x="89"/>
        <item x="55"/>
        <item x="101"/>
        <item x="91"/>
        <item x="73"/>
        <item x="69"/>
        <item x="27"/>
        <item x="83"/>
        <item x="92"/>
        <item x="23"/>
        <item x="79"/>
        <item x="105"/>
        <item x="57"/>
        <item x="68"/>
        <item x="95"/>
        <item x="119"/>
        <item x="126"/>
        <item x="63"/>
        <item x="22"/>
        <item x="20"/>
        <item x="106"/>
        <item x="100"/>
        <item x="132"/>
        <item x="134"/>
        <item x="130"/>
        <item x="115"/>
        <item x="111"/>
        <item x="16"/>
        <item x="64"/>
        <item x="128"/>
        <item x="87"/>
        <item x="99"/>
        <item x="82"/>
        <item x="80"/>
        <item x="120"/>
        <item x="102"/>
        <item x="34"/>
        <item x="108"/>
        <item x="118"/>
        <item x="75"/>
        <item x="117"/>
        <item x="71"/>
        <item x="45"/>
        <item x="96"/>
        <item x="136"/>
        <item x="21"/>
        <item x="97"/>
        <item x="135"/>
        <item x="10"/>
        <item x="4"/>
        <item x="78"/>
        <item x="56"/>
        <item x="90"/>
        <item x="1"/>
        <item x="123"/>
        <item x="93"/>
        <item x="44"/>
        <item x="112"/>
        <item x="62"/>
        <item x="38"/>
        <item x="11"/>
        <item x="86"/>
        <item x="54"/>
        <item x="125"/>
        <item x="127"/>
        <item x="13"/>
        <item x="88"/>
        <item x="14"/>
        <item x="98"/>
        <item x="51"/>
        <item x="122"/>
        <item x="84"/>
        <item x="107"/>
        <item x="116"/>
        <item x="113"/>
        <item x="77"/>
        <item x="85"/>
        <item x="94"/>
        <item x="104"/>
        <item x="53"/>
        <item x="114"/>
        <item x="6"/>
        <item x="3"/>
        <item x="49"/>
        <item x="5"/>
        <item x="70"/>
        <item x="18"/>
        <item x="17"/>
        <item x="15"/>
        <item x="24"/>
        <item x="61"/>
        <item x="0"/>
        <item x="48"/>
        <item x="33"/>
        <item x="26"/>
        <item x="40"/>
        <item x="46"/>
        <item x="42"/>
        <item x="8"/>
        <item x="50"/>
        <item x="41"/>
        <item x="47"/>
        <item x="30"/>
        <item x="43"/>
        <item x="25"/>
        <item x="39"/>
        <item x="131"/>
        <item x="81"/>
        <item x="65"/>
        <item x="59"/>
        <item x="72"/>
        <item x="31"/>
        <item x="52"/>
        <item x="12"/>
        <item x="67"/>
        <item x="9"/>
        <item x="32"/>
        <item x="28"/>
        <item x="29"/>
        <item x="7"/>
        <item x="60"/>
        <item x="19"/>
        <item x="37"/>
        <item t="default"/>
      </items>
    </pivotField>
    <pivotField showAll="0"/>
    <pivotField showAll="0" defaultSubtotal="0"/>
    <pivotField showAll="0" defaultSubtotal="0"/>
    <pivotField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</items>
    </pivotField>
    <pivotField showAll="0" defaultSubtotal="0"/>
    <pivotField showAll="0" defaultSubtota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4">
    <field x="27"/>
    <field x="26"/>
    <field x="25"/>
    <field x="2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AD985-AA61-48B6-964E-A704BC2BD8E0}" name="Table1" displayName="Table1" ref="A1:X312" totalsRowShown="0">
  <autoFilter ref="A1:X312" xr:uid="{2CAAD985-AA61-48B6-964E-A704BC2BD8E0}"/>
  <tableColumns count="24">
    <tableColumn id="1" xr3:uid="{73A275BE-CEDB-4353-8C95-4F75DAA13B2D}" name="Employee_Name"/>
    <tableColumn id="2" xr3:uid="{149B12DE-D97A-407E-AAF1-B7C143B7733C}" name="EmpID"/>
    <tableColumn id="3" xr3:uid="{D32EEDA5-8FE2-4EA1-8BC1-A8C3BD662A76}" name="Position"/>
    <tableColumn id="4" xr3:uid="{3CD1CF76-0EA4-46E8-82FA-F7BCF4838336}" name="DOB" dataDxfId="5"/>
    <tableColumn id="5" xr3:uid="{4BCEC351-F30D-4A5A-8EB9-2442D054C678}" name="Sex"/>
    <tableColumn id="6" xr3:uid="{5B9AB0CA-4CDB-415E-B30E-57F1F7CE01C8}" name="MaritalDesc"/>
    <tableColumn id="7" xr3:uid="{BD7C9F90-33CD-4EEC-929E-5A1EC6B396DB}" name="CitizenDesc"/>
    <tableColumn id="8" xr3:uid="{2D508976-FA47-4906-B859-AE69FFC5D78A}" name="RaceDesc"/>
    <tableColumn id="9" xr3:uid="{016726EF-3D8A-476A-91E4-6F72F1D39262}" name="DateofHire" dataDxfId="4"/>
    <tableColumn id="35" xr3:uid="{74DFB016-FDB6-40A8-ACC8-886288F38700}" name="Group-DateHire" dataDxfId="3"/>
    <tableColumn id="10" xr3:uid="{E1F9B81F-E82D-44DA-8A1B-B404DCE4D412}" name="DateofTermination" dataDxfId="2"/>
    <tableColumn id="11" xr3:uid="{47217B3C-965E-43DB-A1EE-A97C60D69A37}" name="TermReason"/>
    <tableColumn id="12" xr3:uid="{E55D50C5-AA8C-4F8F-8708-167E40BD8935}" name="EmploymentStatus"/>
    <tableColumn id="13" xr3:uid="{A03A72EF-7792-4E88-B7D0-6BA645523D1A}" name="Department"/>
    <tableColumn id="14" xr3:uid="{AA68EF8F-406A-4ADB-81C9-B504F26E6877}" name="ManagerName"/>
    <tableColumn id="15" xr3:uid="{5EE1B0C1-F8DF-40AA-9893-96450F6494F8}" name="ManagerID"/>
    <tableColumn id="16" xr3:uid="{E35F8361-3182-4820-A5CC-00CB0F1A68A1}" name="RecruitmentSource"/>
    <tableColumn id="17" xr3:uid="{7ACD7D93-DFCB-4A04-B20E-985C1D3FC4F9}" name="PerformanceScore"/>
    <tableColumn id="18" xr3:uid="{C4B3E201-3918-4E82-A679-6A9574D090D9}" name="EngagementSurvey"/>
    <tableColumn id="19" xr3:uid="{E7197D92-47B2-4A3D-B9C0-F89FE9F33840}" name="EmpSatisfaction"/>
    <tableColumn id="22" xr3:uid="{5A513CFE-4C07-42B2-9928-248CD0CA567C}" name="EmpSatisfactionPoor"/>
    <tableColumn id="20" xr3:uid="{96796FB5-25C4-4AEF-A72F-832DED8A2248}" name="LastPerformanceReview_Date" dataDxfId="1"/>
    <tableColumn id="21" xr3:uid="{62DB6414-12A3-42C8-A1B9-C7BB10925D6F}" name="Absences"/>
    <tableColumn id="34" xr3:uid="{271CA419-D179-42ED-BC5F-BAE10713A09D}" name="Last Review 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96EBA-78E7-4179-9206-E5FB97B4DCB3}" name="Table2" displayName="Table2" ref="B1:F312" totalsRowShown="0">
  <autoFilter ref="B1:F312" xr:uid="{50B96EBA-78E7-4179-9206-E5FB97B4DCB3}"/>
  <tableColumns count="5">
    <tableColumn id="1" xr3:uid="{31E1A8D6-7BAC-4B76-AB44-5139EA3A8DBF}" name="LastPerformanceReview_Date" dataDxfId="0"/>
    <tableColumn id="2" xr3:uid="{45D6894B-367B-4DFF-B6E9-E9DBF555675F}" name="LastPerformanceReview"/>
    <tableColumn id="3" xr3:uid="{31777775-AD81-4D4E-A936-71A670CFC935}" name="LastPerformanceReview2"/>
    <tableColumn id="6" xr3:uid="{DE7CBE7D-C1E0-4931-9B51-7C0EA75B2526}" name="Employee ID"/>
    <tableColumn id="4" xr3:uid="{9DDBAC61-F9F4-48F4-BDD5-B0D23179539D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3"/>
  <sheetViews>
    <sheetView workbookViewId="0">
      <selection activeCell="E4" sqref="E4"/>
    </sheetView>
  </sheetViews>
  <sheetFormatPr defaultRowHeight="15" x14ac:dyDescent="0.25"/>
  <cols>
    <col min="1" max="1" width="18.28515625" customWidth="1"/>
    <col min="3" max="3" width="10.42578125" customWidth="1"/>
    <col min="4" max="4" width="18.7109375" customWidth="1"/>
    <col min="6" max="6" width="13.7109375" customWidth="1"/>
    <col min="7" max="7" width="16.140625" bestFit="1" customWidth="1"/>
    <col min="8" max="8" width="11.42578125" customWidth="1"/>
    <col min="9" max="10" width="19.42578125" customWidth="1"/>
    <col min="11" max="11" width="20" customWidth="1"/>
    <col min="12" max="12" width="27.28515625" bestFit="1" customWidth="1"/>
    <col min="13" max="13" width="19.85546875" customWidth="1"/>
    <col min="14" max="14" width="13.85546875" customWidth="1"/>
    <col min="15" max="15" width="16.28515625" customWidth="1"/>
    <col min="16" max="16" width="12.85546875" customWidth="1"/>
    <col min="17" max="17" width="20.140625" customWidth="1"/>
    <col min="18" max="18" width="19.42578125" customWidth="1"/>
    <col min="19" max="19" width="20.140625" customWidth="1"/>
    <col min="20" max="21" width="17.28515625" customWidth="1"/>
    <col min="22" max="22" width="29.7109375" customWidth="1"/>
    <col min="23" max="23" width="11.5703125" customWidth="1"/>
    <col min="24" max="24" width="18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567</v>
      </c>
      <c r="V1" t="s">
        <v>19</v>
      </c>
      <c r="W1" t="s">
        <v>20</v>
      </c>
      <c r="X1" t="s">
        <v>578</v>
      </c>
    </row>
    <row r="2" spans="1:24" x14ac:dyDescent="0.25">
      <c r="A2" t="s">
        <v>21</v>
      </c>
      <c r="B2">
        <v>10026</v>
      </c>
      <c r="C2" t="s">
        <v>22</v>
      </c>
      <c r="D2" s="1">
        <v>30507</v>
      </c>
      <c r="E2" t="s">
        <v>23</v>
      </c>
      <c r="F2" t="s">
        <v>24</v>
      </c>
      <c r="G2" t="s">
        <v>25</v>
      </c>
      <c r="H2" t="s">
        <v>26</v>
      </c>
      <c r="I2" s="1">
        <v>40734</v>
      </c>
      <c r="J2" t="s">
        <v>582</v>
      </c>
      <c r="K2" s="1" t="s">
        <v>500</v>
      </c>
      <c r="L2" t="s">
        <v>27</v>
      </c>
      <c r="M2" t="s">
        <v>28</v>
      </c>
      <c r="N2" t="s">
        <v>29</v>
      </c>
      <c r="O2" t="s">
        <v>30</v>
      </c>
      <c r="P2">
        <v>22</v>
      </c>
      <c r="Q2" t="s">
        <v>31</v>
      </c>
      <c r="R2" t="s">
        <v>32</v>
      </c>
      <c r="S2">
        <v>4.5999999999999996</v>
      </c>
      <c r="T2">
        <v>5</v>
      </c>
      <c r="U2" t="s">
        <v>564</v>
      </c>
      <c r="V2" s="1">
        <v>43482</v>
      </c>
      <c r="W2">
        <v>1</v>
      </c>
      <c r="X2" t="s">
        <v>586</v>
      </c>
    </row>
    <row r="3" spans="1:24" x14ac:dyDescent="0.25">
      <c r="A3" t="s">
        <v>34</v>
      </c>
      <c r="B3">
        <v>10084</v>
      </c>
      <c r="C3" t="s">
        <v>35</v>
      </c>
      <c r="D3" s="1">
        <v>27519</v>
      </c>
      <c r="E3" t="s">
        <v>23</v>
      </c>
      <c r="F3" t="s">
        <v>36</v>
      </c>
      <c r="G3" t="s">
        <v>25</v>
      </c>
      <c r="H3" t="s">
        <v>26</v>
      </c>
      <c r="I3" s="1">
        <v>42093</v>
      </c>
      <c r="J3" t="s">
        <v>584</v>
      </c>
      <c r="K3" s="1">
        <v>42537</v>
      </c>
      <c r="L3" t="s">
        <v>38</v>
      </c>
      <c r="M3" t="s">
        <v>39</v>
      </c>
      <c r="N3" t="s">
        <v>40</v>
      </c>
      <c r="O3" t="s">
        <v>41</v>
      </c>
      <c r="P3">
        <v>4</v>
      </c>
      <c r="Q3" t="s">
        <v>42</v>
      </c>
      <c r="R3" t="s">
        <v>43</v>
      </c>
      <c r="S3">
        <v>4.96</v>
      </c>
      <c r="T3">
        <v>3</v>
      </c>
      <c r="U3" t="s">
        <v>566</v>
      </c>
      <c r="V3" s="1">
        <v>42424</v>
      </c>
      <c r="W3">
        <v>17</v>
      </c>
      <c r="X3" t="s">
        <v>585</v>
      </c>
    </row>
    <row r="4" spans="1:24" x14ac:dyDescent="0.25">
      <c r="A4" t="s">
        <v>45</v>
      </c>
      <c r="B4">
        <v>10196</v>
      </c>
      <c r="C4" t="s">
        <v>46</v>
      </c>
      <c r="D4" s="1">
        <v>32405</v>
      </c>
      <c r="E4" t="s">
        <v>47</v>
      </c>
      <c r="F4" t="s">
        <v>36</v>
      </c>
      <c r="G4" t="s">
        <v>25</v>
      </c>
      <c r="H4" t="s">
        <v>26</v>
      </c>
      <c r="I4" s="1">
        <v>40729</v>
      </c>
      <c r="J4" t="s">
        <v>582</v>
      </c>
      <c r="K4" s="1">
        <v>41176</v>
      </c>
      <c r="L4" t="s">
        <v>48</v>
      </c>
      <c r="M4" t="s">
        <v>39</v>
      </c>
      <c r="N4" t="s">
        <v>29</v>
      </c>
      <c r="O4" t="s">
        <v>49</v>
      </c>
      <c r="P4">
        <v>20</v>
      </c>
      <c r="Q4" t="s">
        <v>31</v>
      </c>
      <c r="R4" t="s">
        <v>43</v>
      </c>
      <c r="S4">
        <v>3.02</v>
      </c>
      <c r="T4">
        <v>3</v>
      </c>
      <c r="U4" t="s">
        <v>566</v>
      </c>
      <c r="V4" s="1">
        <v>41044</v>
      </c>
      <c r="W4">
        <v>3</v>
      </c>
      <c r="X4" t="s">
        <v>583</v>
      </c>
    </row>
    <row r="5" spans="1:24" x14ac:dyDescent="0.25">
      <c r="A5" t="s">
        <v>51</v>
      </c>
      <c r="B5">
        <v>10088</v>
      </c>
      <c r="C5" t="s">
        <v>22</v>
      </c>
      <c r="D5" s="1">
        <v>32413</v>
      </c>
      <c r="E5" t="s">
        <v>47</v>
      </c>
      <c r="F5" t="s">
        <v>36</v>
      </c>
      <c r="G5" t="s">
        <v>25</v>
      </c>
      <c r="H5" t="s">
        <v>26</v>
      </c>
      <c r="I5" s="1">
        <v>39454</v>
      </c>
      <c r="J5" t="s">
        <v>581</v>
      </c>
      <c r="K5" s="1" t="s">
        <v>500</v>
      </c>
      <c r="L5" t="s">
        <v>27</v>
      </c>
      <c r="M5" t="s">
        <v>28</v>
      </c>
      <c r="N5" t="s">
        <v>29</v>
      </c>
      <c r="O5" t="s">
        <v>52</v>
      </c>
      <c r="P5">
        <v>16</v>
      </c>
      <c r="Q5" t="s">
        <v>42</v>
      </c>
      <c r="R5" t="s">
        <v>43</v>
      </c>
      <c r="S5">
        <v>4.84</v>
      </c>
      <c r="T5">
        <v>5</v>
      </c>
      <c r="U5" t="s">
        <v>564</v>
      </c>
      <c r="V5" s="1">
        <v>43468</v>
      </c>
      <c r="W5">
        <v>15</v>
      </c>
      <c r="X5" t="s">
        <v>586</v>
      </c>
    </row>
    <row r="6" spans="1:24" x14ac:dyDescent="0.25">
      <c r="A6" t="s">
        <v>53</v>
      </c>
      <c r="B6">
        <v>10069</v>
      </c>
      <c r="C6" t="s">
        <v>22</v>
      </c>
      <c r="D6" s="1">
        <v>32759</v>
      </c>
      <c r="E6" t="s">
        <v>47</v>
      </c>
      <c r="F6" t="s">
        <v>54</v>
      </c>
      <c r="G6" t="s">
        <v>25</v>
      </c>
      <c r="H6" t="s">
        <v>26</v>
      </c>
      <c r="I6" s="1">
        <v>40735</v>
      </c>
      <c r="J6" t="s">
        <v>582</v>
      </c>
      <c r="K6" s="1">
        <v>42619</v>
      </c>
      <c r="L6" t="s">
        <v>55</v>
      </c>
      <c r="M6" t="s">
        <v>39</v>
      </c>
      <c r="N6" t="s">
        <v>29</v>
      </c>
      <c r="O6" t="s">
        <v>56</v>
      </c>
      <c r="P6">
        <v>39</v>
      </c>
      <c r="Q6" t="s">
        <v>57</v>
      </c>
      <c r="R6" t="s">
        <v>43</v>
      </c>
      <c r="S6">
        <v>5</v>
      </c>
      <c r="T6">
        <v>4</v>
      </c>
      <c r="U6" t="s">
        <v>565</v>
      </c>
      <c r="V6" s="1">
        <v>42401</v>
      </c>
      <c r="W6">
        <v>2</v>
      </c>
      <c r="X6" t="s">
        <v>585</v>
      </c>
    </row>
    <row r="7" spans="1:24" x14ac:dyDescent="0.25">
      <c r="A7" t="s">
        <v>58</v>
      </c>
      <c r="B7">
        <v>10002</v>
      </c>
      <c r="C7" t="s">
        <v>22</v>
      </c>
      <c r="D7" s="1">
        <v>28267</v>
      </c>
      <c r="E7" t="s">
        <v>47</v>
      </c>
      <c r="F7" t="s">
        <v>24</v>
      </c>
      <c r="G7" t="s">
        <v>25</v>
      </c>
      <c r="H7" t="s">
        <v>26</v>
      </c>
      <c r="I7" s="1">
        <v>40917</v>
      </c>
      <c r="J7" t="s">
        <v>583</v>
      </c>
      <c r="K7" s="1" t="s">
        <v>500</v>
      </c>
      <c r="L7" t="s">
        <v>27</v>
      </c>
      <c r="M7" t="s">
        <v>28</v>
      </c>
      <c r="N7" t="s">
        <v>29</v>
      </c>
      <c r="O7" t="s">
        <v>59</v>
      </c>
      <c r="P7">
        <v>11</v>
      </c>
      <c r="Q7" t="s">
        <v>31</v>
      </c>
      <c r="R7" t="s">
        <v>32</v>
      </c>
      <c r="S7">
        <v>5</v>
      </c>
      <c r="T7">
        <v>5</v>
      </c>
      <c r="U7" t="s">
        <v>564</v>
      </c>
      <c r="V7" s="1">
        <v>43472</v>
      </c>
      <c r="W7">
        <v>15</v>
      </c>
      <c r="X7" t="s">
        <v>586</v>
      </c>
    </row>
    <row r="8" spans="1:24" x14ac:dyDescent="0.25">
      <c r="A8" t="s">
        <v>60</v>
      </c>
      <c r="B8">
        <v>10194</v>
      </c>
      <c r="C8" t="s">
        <v>61</v>
      </c>
      <c r="D8" s="1">
        <v>28999</v>
      </c>
      <c r="E8" t="s">
        <v>47</v>
      </c>
      <c r="F8" t="s">
        <v>24</v>
      </c>
      <c r="G8" t="s">
        <v>25</v>
      </c>
      <c r="H8" t="s">
        <v>26</v>
      </c>
      <c r="I8" s="1">
        <v>41649</v>
      </c>
      <c r="J8" t="s">
        <v>584</v>
      </c>
      <c r="K8" s="1" t="s">
        <v>500</v>
      </c>
      <c r="L8" t="s">
        <v>27</v>
      </c>
      <c r="M8" t="s">
        <v>28</v>
      </c>
      <c r="N8" t="s">
        <v>62</v>
      </c>
      <c r="O8" t="s">
        <v>63</v>
      </c>
      <c r="P8">
        <v>10</v>
      </c>
      <c r="Q8" t="s">
        <v>31</v>
      </c>
      <c r="R8" t="s">
        <v>43</v>
      </c>
      <c r="S8">
        <v>3.04</v>
      </c>
      <c r="T8">
        <v>3</v>
      </c>
      <c r="U8" t="s">
        <v>566</v>
      </c>
      <c r="V8" s="1">
        <v>43467</v>
      </c>
      <c r="W8">
        <v>19</v>
      </c>
      <c r="X8" t="s">
        <v>586</v>
      </c>
    </row>
    <row r="9" spans="1:24" x14ac:dyDescent="0.25">
      <c r="A9" t="s">
        <v>64</v>
      </c>
      <c r="B9">
        <v>10062</v>
      </c>
      <c r="C9" t="s">
        <v>22</v>
      </c>
      <c r="D9" s="1">
        <v>30365</v>
      </c>
      <c r="E9" t="s">
        <v>23</v>
      </c>
      <c r="F9" t="s">
        <v>65</v>
      </c>
      <c r="G9" t="s">
        <v>25</v>
      </c>
      <c r="H9" t="s">
        <v>26</v>
      </c>
      <c r="I9" s="1">
        <v>41547</v>
      </c>
      <c r="J9" t="s">
        <v>583</v>
      </c>
      <c r="K9" s="1" t="s">
        <v>500</v>
      </c>
      <c r="L9" t="s">
        <v>27</v>
      </c>
      <c r="M9" t="s">
        <v>28</v>
      </c>
      <c r="N9" t="s">
        <v>29</v>
      </c>
      <c r="O9" t="s">
        <v>66</v>
      </c>
      <c r="P9">
        <v>19</v>
      </c>
      <c r="Q9" t="s">
        <v>67</v>
      </c>
      <c r="R9" t="s">
        <v>43</v>
      </c>
      <c r="S9">
        <v>5</v>
      </c>
      <c r="T9">
        <v>4</v>
      </c>
      <c r="U9" t="s">
        <v>565</v>
      </c>
      <c r="V9" s="1">
        <v>43521</v>
      </c>
      <c r="W9">
        <v>19</v>
      </c>
      <c r="X9" t="s">
        <v>586</v>
      </c>
    </row>
    <row r="10" spans="1:24" x14ac:dyDescent="0.25">
      <c r="A10" t="s">
        <v>69</v>
      </c>
      <c r="B10">
        <v>10114</v>
      </c>
      <c r="C10" t="s">
        <v>22</v>
      </c>
      <c r="D10" s="1">
        <v>25610</v>
      </c>
      <c r="E10" t="s">
        <v>47</v>
      </c>
      <c r="F10" t="s">
        <v>24</v>
      </c>
      <c r="G10" t="s">
        <v>25</v>
      </c>
      <c r="H10" t="s">
        <v>70</v>
      </c>
      <c r="I10" s="1">
        <v>40000</v>
      </c>
      <c r="J10" t="s">
        <v>581</v>
      </c>
      <c r="K10" s="1" t="s">
        <v>500</v>
      </c>
      <c r="L10" t="s">
        <v>27</v>
      </c>
      <c r="M10" t="s">
        <v>28</v>
      </c>
      <c r="N10" t="s">
        <v>29</v>
      </c>
      <c r="O10" t="s">
        <v>71</v>
      </c>
      <c r="P10">
        <v>12</v>
      </c>
      <c r="Q10" t="s">
        <v>72</v>
      </c>
      <c r="R10" t="s">
        <v>43</v>
      </c>
      <c r="S10">
        <v>4.46</v>
      </c>
      <c r="T10">
        <v>3</v>
      </c>
      <c r="U10" t="s">
        <v>566</v>
      </c>
      <c r="V10" s="1">
        <v>43490</v>
      </c>
      <c r="W10">
        <v>4</v>
      </c>
      <c r="X10" t="s">
        <v>586</v>
      </c>
    </row>
    <row r="11" spans="1:24" x14ac:dyDescent="0.25">
      <c r="A11" t="s">
        <v>74</v>
      </c>
      <c r="B11">
        <v>10250</v>
      </c>
      <c r="C11" t="s">
        <v>75</v>
      </c>
      <c r="D11" s="1">
        <v>32149</v>
      </c>
      <c r="E11" t="s">
        <v>23</v>
      </c>
      <c r="F11" t="s">
        <v>54</v>
      </c>
      <c r="G11" t="s">
        <v>25</v>
      </c>
      <c r="H11" t="s">
        <v>26</v>
      </c>
      <c r="I11" s="1">
        <v>42009</v>
      </c>
      <c r="J11" t="s">
        <v>584</v>
      </c>
      <c r="K11" s="1" t="s">
        <v>500</v>
      </c>
      <c r="L11" t="s">
        <v>27</v>
      </c>
      <c r="M11" t="s">
        <v>28</v>
      </c>
      <c r="N11" t="s">
        <v>40</v>
      </c>
      <c r="O11" t="s">
        <v>76</v>
      </c>
      <c r="P11">
        <v>7</v>
      </c>
      <c r="Q11" t="s">
        <v>42</v>
      </c>
      <c r="R11" t="s">
        <v>43</v>
      </c>
      <c r="S11">
        <v>5</v>
      </c>
      <c r="T11">
        <v>5</v>
      </c>
      <c r="U11" t="s">
        <v>564</v>
      </c>
      <c r="V11" s="1">
        <v>43514</v>
      </c>
      <c r="W11">
        <v>16</v>
      </c>
      <c r="X11" t="s">
        <v>586</v>
      </c>
    </row>
    <row r="12" spans="1:24" x14ac:dyDescent="0.25">
      <c r="A12" t="s">
        <v>78</v>
      </c>
      <c r="B12">
        <v>10252</v>
      </c>
      <c r="C12" t="s">
        <v>22</v>
      </c>
      <c r="D12" s="1">
        <v>27041</v>
      </c>
      <c r="E12" t="s">
        <v>47</v>
      </c>
      <c r="F12" t="s">
        <v>36</v>
      </c>
      <c r="G12" t="s">
        <v>25</v>
      </c>
      <c r="H12" t="s">
        <v>70</v>
      </c>
      <c r="I12" s="1">
        <v>40553</v>
      </c>
      <c r="J12" t="s">
        <v>582</v>
      </c>
      <c r="K12" s="1">
        <v>42747</v>
      </c>
      <c r="L12" t="s">
        <v>79</v>
      </c>
      <c r="M12" t="s">
        <v>39</v>
      </c>
      <c r="N12" t="s">
        <v>29</v>
      </c>
      <c r="O12" t="s">
        <v>80</v>
      </c>
      <c r="P12">
        <v>14</v>
      </c>
      <c r="Q12" t="s">
        <v>72</v>
      </c>
      <c r="R12" t="s">
        <v>43</v>
      </c>
      <c r="S12">
        <v>4.2</v>
      </c>
      <c r="T12">
        <v>4</v>
      </c>
      <c r="U12" t="s">
        <v>565</v>
      </c>
      <c r="V12" s="1">
        <v>42399</v>
      </c>
      <c r="W12">
        <v>12</v>
      </c>
      <c r="X12" t="s">
        <v>585</v>
      </c>
    </row>
    <row r="13" spans="1:24" x14ac:dyDescent="0.25">
      <c r="A13" t="s">
        <v>82</v>
      </c>
      <c r="B13">
        <v>10242</v>
      </c>
      <c r="C13" t="s">
        <v>22</v>
      </c>
      <c r="D13" s="1">
        <v>27081</v>
      </c>
      <c r="E13" t="s">
        <v>23</v>
      </c>
      <c r="F13" t="s">
        <v>36</v>
      </c>
      <c r="G13" t="s">
        <v>25</v>
      </c>
      <c r="H13" t="s">
        <v>70</v>
      </c>
      <c r="I13" s="1">
        <v>41001</v>
      </c>
      <c r="J13" t="s">
        <v>583</v>
      </c>
      <c r="K13" s="1">
        <v>42632</v>
      </c>
      <c r="L13" t="s">
        <v>83</v>
      </c>
      <c r="M13" t="s">
        <v>39</v>
      </c>
      <c r="N13" t="s">
        <v>29</v>
      </c>
      <c r="O13" t="s">
        <v>49</v>
      </c>
      <c r="P13">
        <v>20</v>
      </c>
      <c r="Q13" t="s">
        <v>72</v>
      </c>
      <c r="R13" t="s">
        <v>43</v>
      </c>
      <c r="S13">
        <v>4.2</v>
      </c>
      <c r="T13">
        <v>3</v>
      </c>
      <c r="U13" t="s">
        <v>566</v>
      </c>
      <c r="V13" s="1">
        <v>42496</v>
      </c>
      <c r="W13">
        <v>15</v>
      </c>
      <c r="X13" t="s">
        <v>585</v>
      </c>
    </row>
    <row r="14" spans="1:24" x14ac:dyDescent="0.25">
      <c r="A14" t="s">
        <v>84</v>
      </c>
      <c r="B14">
        <v>10012</v>
      </c>
      <c r="C14" t="s">
        <v>85</v>
      </c>
      <c r="D14" s="1">
        <v>32328</v>
      </c>
      <c r="E14" t="s">
        <v>23</v>
      </c>
      <c r="F14" t="s">
        <v>54</v>
      </c>
      <c r="G14" t="s">
        <v>25</v>
      </c>
      <c r="H14" t="s">
        <v>70</v>
      </c>
      <c r="I14" s="1">
        <v>41649</v>
      </c>
      <c r="J14" t="s">
        <v>584</v>
      </c>
      <c r="K14" s="1" t="s">
        <v>500</v>
      </c>
      <c r="L14" t="s">
        <v>27</v>
      </c>
      <c r="M14" t="s">
        <v>28</v>
      </c>
      <c r="N14" t="s">
        <v>40</v>
      </c>
      <c r="O14" t="s">
        <v>41</v>
      </c>
      <c r="P14">
        <v>4</v>
      </c>
      <c r="Q14" t="s">
        <v>72</v>
      </c>
      <c r="R14" t="s">
        <v>32</v>
      </c>
      <c r="S14">
        <v>4.28</v>
      </c>
      <c r="T14">
        <v>4</v>
      </c>
      <c r="U14" t="s">
        <v>565</v>
      </c>
      <c r="V14" s="1">
        <v>43521</v>
      </c>
      <c r="W14">
        <v>9</v>
      </c>
      <c r="X14" t="s">
        <v>586</v>
      </c>
    </row>
    <row r="15" spans="1:24" x14ac:dyDescent="0.25">
      <c r="A15" t="s">
        <v>86</v>
      </c>
      <c r="B15">
        <v>10265</v>
      </c>
      <c r="C15" t="s">
        <v>22</v>
      </c>
      <c r="D15" s="1">
        <v>30517</v>
      </c>
      <c r="E15" t="s">
        <v>23</v>
      </c>
      <c r="F15" t="s">
        <v>24</v>
      </c>
      <c r="G15" t="s">
        <v>25</v>
      </c>
      <c r="H15" t="s">
        <v>87</v>
      </c>
      <c r="I15" s="1">
        <v>40959</v>
      </c>
      <c r="J15" t="s">
        <v>583</v>
      </c>
      <c r="K15" s="1" t="s">
        <v>500</v>
      </c>
      <c r="L15" t="s">
        <v>27</v>
      </c>
      <c r="M15" t="s">
        <v>28</v>
      </c>
      <c r="N15" t="s">
        <v>29</v>
      </c>
      <c r="O15" t="s">
        <v>89</v>
      </c>
      <c r="P15">
        <v>18</v>
      </c>
      <c r="Q15" t="s">
        <v>57</v>
      </c>
      <c r="R15" t="s">
        <v>43</v>
      </c>
      <c r="S15">
        <v>4.5999999999999996</v>
      </c>
      <c r="T15">
        <v>4</v>
      </c>
      <c r="U15" t="s">
        <v>565</v>
      </c>
      <c r="V15" s="1">
        <v>43510</v>
      </c>
      <c r="W15">
        <v>7</v>
      </c>
      <c r="X15" t="s">
        <v>586</v>
      </c>
    </row>
    <row r="16" spans="1:24" x14ac:dyDescent="0.25">
      <c r="A16" t="s">
        <v>91</v>
      </c>
      <c r="B16">
        <v>10066</v>
      </c>
      <c r="C16" t="s">
        <v>22</v>
      </c>
      <c r="D16" s="1">
        <v>28321</v>
      </c>
      <c r="E16" t="s">
        <v>23</v>
      </c>
      <c r="F16" t="s">
        <v>54</v>
      </c>
      <c r="G16" t="s">
        <v>25</v>
      </c>
      <c r="H16" t="s">
        <v>26</v>
      </c>
      <c r="I16" s="1">
        <v>41176</v>
      </c>
      <c r="J16" t="s">
        <v>583</v>
      </c>
      <c r="K16" s="1">
        <v>42831</v>
      </c>
      <c r="L16" t="s">
        <v>79</v>
      </c>
      <c r="M16" t="s">
        <v>39</v>
      </c>
      <c r="N16" t="s">
        <v>29</v>
      </c>
      <c r="O16" t="s">
        <v>30</v>
      </c>
      <c r="P16">
        <v>22</v>
      </c>
      <c r="Q16" t="s">
        <v>92</v>
      </c>
      <c r="R16" t="s">
        <v>43</v>
      </c>
      <c r="S16">
        <v>5</v>
      </c>
      <c r="T16">
        <v>5</v>
      </c>
      <c r="U16" t="s">
        <v>564</v>
      </c>
      <c r="V16" s="1">
        <v>42796</v>
      </c>
      <c r="W16">
        <v>1</v>
      </c>
      <c r="X16" t="s">
        <v>585</v>
      </c>
    </row>
    <row r="17" spans="1:24" x14ac:dyDescent="0.25">
      <c r="A17" t="s">
        <v>93</v>
      </c>
      <c r="B17">
        <v>10061</v>
      </c>
      <c r="C17" t="s">
        <v>22</v>
      </c>
      <c r="D17" s="1">
        <v>29877</v>
      </c>
      <c r="E17" t="s">
        <v>23</v>
      </c>
      <c r="F17" t="s">
        <v>24</v>
      </c>
      <c r="G17" t="s">
        <v>25</v>
      </c>
      <c r="H17" t="s">
        <v>26</v>
      </c>
      <c r="I17" s="1">
        <v>40595</v>
      </c>
      <c r="J17" t="s">
        <v>582</v>
      </c>
      <c r="K17" s="1">
        <v>42951</v>
      </c>
      <c r="L17" t="s">
        <v>94</v>
      </c>
      <c r="M17" t="s">
        <v>95</v>
      </c>
      <c r="N17" t="s">
        <v>29</v>
      </c>
      <c r="O17" t="s">
        <v>89</v>
      </c>
      <c r="P17">
        <v>18</v>
      </c>
      <c r="Q17" t="s">
        <v>57</v>
      </c>
      <c r="R17" t="s">
        <v>43</v>
      </c>
      <c r="S17">
        <v>5</v>
      </c>
      <c r="T17">
        <v>4</v>
      </c>
      <c r="U17" t="s">
        <v>565</v>
      </c>
      <c r="V17" s="1">
        <v>42830</v>
      </c>
      <c r="W17">
        <v>20</v>
      </c>
      <c r="X17" t="s">
        <v>585</v>
      </c>
    </row>
    <row r="18" spans="1:24" x14ac:dyDescent="0.25">
      <c r="A18" t="s">
        <v>96</v>
      </c>
      <c r="B18">
        <v>10023</v>
      </c>
      <c r="C18" t="s">
        <v>46</v>
      </c>
      <c r="D18" s="1">
        <v>24214</v>
      </c>
      <c r="E18" t="s">
        <v>47</v>
      </c>
      <c r="F18" t="s">
        <v>36</v>
      </c>
      <c r="G18" t="s">
        <v>25</v>
      </c>
      <c r="H18" t="s">
        <v>26</v>
      </c>
      <c r="I18" s="1">
        <v>42572</v>
      </c>
      <c r="J18" t="s">
        <v>585</v>
      </c>
      <c r="K18" s="1" t="s">
        <v>500</v>
      </c>
      <c r="L18" t="s">
        <v>27</v>
      </c>
      <c r="M18" t="s">
        <v>28</v>
      </c>
      <c r="N18" t="s">
        <v>29</v>
      </c>
      <c r="O18" t="s">
        <v>89</v>
      </c>
      <c r="P18">
        <v>18</v>
      </c>
      <c r="Q18" t="s">
        <v>67</v>
      </c>
      <c r="R18" t="s">
        <v>32</v>
      </c>
      <c r="S18">
        <v>4.4000000000000004</v>
      </c>
      <c r="T18">
        <v>3</v>
      </c>
      <c r="U18" t="s">
        <v>566</v>
      </c>
      <c r="V18" s="1">
        <v>43479</v>
      </c>
      <c r="W18">
        <v>16</v>
      </c>
      <c r="X18" t="s">
        <v>586</v>
      </c>
    </row>
    <row r="19" spans="1:24" x14ac:dyDescent="0.25">
      <c r="A19" t="s">
        <v>98</v>
      </c>
      <c r="B19">
        <v>10055</v>
      </c>
      <c r="C19" t="s">
        <v>22</v>
      </c>
      <c r="D19" s="1">
        <v>25868</v>
      </c>
      <c r="E19" t="s">
        <v>47</v>
      </c>
      <c r="F19" t="s">
        <v>24</v>
      </c>
      <c r="G19" t="s">
        <v>99</v>
      </c>
      <c r="H19" t="s">
        <v>26</v>
      </c>
      <c r="I19" s="1">
        <v>40637</v>
      </c>
      <c r="J19" t="s">
        <v>582</v>
      </c>
      <c r="K19" s="1" t="s">
        <v>500</v>
      </c>
      <c r="L19" t="s">
        <v>27</v>
      </c>
      <c r="M19" t="s">
        <v>28</v>
      </c>
      <c r="N19" t="s">
        <v>29</v>
      </c>
      <c r="O19" t="s">
        <v>52</v>
      </c>
      <c r="P19">
        <v>16</v>
      </c>
      <c r="Q19" t="s">
        <v>57</v>
      </c>
      <c r="R19" t="s">
        <v>43</v>
      </c>
      <c r="S19">
        <v>5</v>
      </c>
      <c r="T19">
        <v>5</v>
      </c>
      <c r="U19" t="s">
        <v>564</v>
      </c>
      <c r="V19" s="1">
        <v>43479</v>
      </c>
      <c r="W19">
        <v>12</v>
      </c>
      <c r="X19" t="s">
        <v>586</v>
      </c>
    </row>
    <row r="20" spans="1:24" x14ac:dyDescent="0.25">
      <c r="A20" t="s">
        <v>100</v>
      </c>
      <c r="B20">
        <v>10245</v>
      </c>
      <c r="C20" t="s">
        <v>101</v>
      </c>
      <c r="D20" s="1">
        <v>31506</v>
      </c>
      <c r="E20" t="s">
        <v>47</v>
      </c>
      <c r="F20" t="s">
        <v>24</v>
      </c>
      <c r="G20" t="s">
        <v>25</v>
      </c>
      <c r="H20" t="s">
        <v>26</v>
      </c>
      <c r="I20" s="1">
        <v>41827</v>
      </c>
      <c r="J20" t="s">
        <v>584</v>
      </c>
      <c r="K20" s="1">
        <v>42259</v>
      </c>
      <c r="L20" t="s">
        <v>102</v>
      </c>
      <c r="M20" t="s">
        <v>95</v>
      </c>
      <c r="N20" t="s">
        <v>40</v>
      </c>
      <c r="O20" t="s">
        <v>41</v>
      </c>
      <c r="P20">
        <v>4</v>
      </c>
      <c r="Q20" t="s">
        <v>57</v>
      </c>
      <c r="R20" t="s">
        <v>43</v>
      </c>
      <c r="S20">
        <v>4.5</v>
      </c>
      <c r="T20">
        <v>4</v>
      </c>
      <c r="U20" t="s">
        <v>565</v>
      </c>
      <c r="V20" s="1">
        <v>42019</v>
      </c>
      <c r="W20">
        <v>8</v>
      </c>
      <c r="X20" t="s">
        <v>584</v>
      </c>
    </row>
    <row r="21" spans="1:24" x14ac:dyDescent="0.25">
      <c r="A21" t="s">
        <v>104</v>
      </c>
      <c r="B21">
        <v>10277</v>
      </c>
      <c r="C21" t="s">
        <v>22</v>
      </c>
      <c r="D21" s="1">
        <v>28951</v>
      </c>
      <c r="E21" t="s">
        <v>23</v>
      </c>
      <c r="F21" t="s">
        <v>24</v>
      </c>
      <c r="G21" t="s">
        <v>25</v>
      </c>
      <c r="H21" t="s">
        <v>105</v>
      </c>
      <c r="I21" s="1">
        <v>41463</v>
      </c>
      <c r="J21" t="s">
        <v>583</v>
      </c>
      <c r="K21" s="1" t="s">
        <v>500</v>
      </c>
      <c r="L21" t="s">
        <v>27</v>
      </c>
      <c r="M21" t="s">
        <v>28</v>
      </c>
      <c r="N21" t="s">
        <v>29</v>
      </c>
      <c r="O21" t="s">
        <v>56</v>
      </c>
      <c r="Q21" t="s">
        <v>31</v>
      </c>
      <c r="R21" t="s">
        <v>43</v>
      </c>
      <c r="S21">
        <v>4.2</v>
      </c>
      <c r="T21">
        <v>4</v>
      </c>
      <c r="U21" t="s">
        <v>565</v>
      </c>
      <c r="V21" s="1">
        <v>43476</v>
      </c>
      <c r="W21">
        <v>13</v>
      </c>
      <c r="X21" t="s">
        <v>586</v>
      </c>
    </row>
    <row r="22" spans="1:24" x14ac:dyDescent="0.25">
      <c r="A22" t="s">
        <v>106</v>
      </c>
      <c r="B22">
        <v>10046</v>
      </c>
      <c r="C22" t="s">
        <v>22</v>
      </c>
      <c r="D22" s="1">
        <v>25621</v>
      </c>
      <c r="E22" t="s">
        <v>23</v>
      </c>
      <c r="F22" t="s">
        <v>24</v>
      </c>
      <c r="G22" t="s">
        <v>25</v>
      </c>
      <c r="H22" t="s">
        <v>26</v>
      </c>
      <c r="I22" s="1">
        <v>41001</v>
      </c>
      <c r="J22" t="s">
        <v>583</v>
      </c>
      <c r="K22" s="1" t="s">
        <v>500</v>
      </c>
      <c r="L22" t="s">
        <v>27</v>
      </c>
      <c r="M22" t="s">
        <v>28</v>
      </c>
      <c r="N22" t="s">
        <v>29</v>
      </c>
      <c r="O22" t="s">
        <v>59</v>
      </c>
      <c r="P22">
        <v>11</v>
      </c>
      <c r="Q22" t="s">
        <v>57</v>
      </c>
      <c r="R22" t="s">
        <v>43</v>
      </c>
      <c r="S22">
        <v>5</v>
      </c>
      <c r="T22">
        <v>3</v>
      </c>
      <c r="U22" t="s">
        <v>566</v>
      </c>
      <c r="V22" s="1">
        <v>43479</v>
      </c>
      <c r="W22">
        <v>13</v>
      </c>
      <c r="X22" t="s">
        <v>586</v>
      </c>
    </row>
    <row r="23" spans="1:24" x14ac:dyDescent="0.25">
      <c r="A23" t="s">
        <v>107</v>
      </c>
      <c r="B23">
        <v>10226</v>
      </c>
      <c r="C23" t="s">
        <v>22</v>
      </c>
      <c r="D23" s="1">
        <v>21243</v>
      </c>
      <c r="E23" t="s">
        <v>47</v>
      </c>
      <c r="F23" t="s">
        <v>54</v>
      </c>
      <c r="G23" t="s">
        <v>25</v>
      </c>
      <c r="H23" t="s">
        <v>105</v>
      </c>
      <c r="I23" s="1">
        <v>41505</v>
      </c>
      <c r="J23" t="s">
        <v>583</v>
      </c>
      <c r="K23" s="1" t="s">
        <v>500</v>
      </c>
      <c r="L23" t="s">
        <v>27</v>
      </c>
      <c r="M23" t="s">
        <v>28</v>
      </c>
      <c r="N23" t="s">
        <v>29</v>
      </c>
      <c r="O23" t="s">
        <v>66</v>
      </c>
      <c r="P23">
        <v>19</v>
      </c>
      <c r="Q23" t="s">
        <v>42</v>
      </c>
      <c r="R23" t="s">
        <v>43</v>
      </c>
      <c r="S23">
        <v>4.2</v>
      </c>
      <c r="T23">
        <v>3</v>
      </c>
      <c r="U23" t="s">
        <v>566</v>
      </c>
      <c r="V23" s="1">
        <v>43475</v>
      </c>
      <c r="W23">
        <v>2</v>
      </c>
      <c r="X23" t="s">
        <v>586</v>
      </c>
    </row>
    <row r="24" spans="1:24" x14ac:dyDescent="0.25">
      <c r="A24" t="s">
        <v>108</v>
      </c>
      <c r="B24">
        <v>10003</v>
      </c>
      <c r="C24" t="s">
        <v>22</v>
      </c>
      <c r="D24" s="1">
        <v>32752</v>
      </c>
      <c r="E24" t="s">
        <v>47</v>
      </c>
      <c r="F24" t="s">
        <v>36</v>
      </c>
      <c r="G24" t="s">
        <v>25</v>
      </c>
      <c r="H24" t="s">
        <v>26</v>
      </c>
      <c r="I24" s="1">
        <v>41827</v>
      </c>
      <c r="J24" t="s">
        <v>584</v>
      </c>
      <c r="K24" s="1" t="s">
        <v>500</v>
      </c>
      <c r="L24" t="s">
        <v>27</v>
      </c>
      <c r="M24" t="s">
        <v>28</v>
      </c>
      <c r="N24" t="s">
        <v>29</v>
      </c>
      <c r="O24" t="s">
        <v>71</v>
      </c>
      <c r="P24">
        <v>12</v>
      </c>
      <c r="Q24" t="s">
        <v>42</v>
      </c>
      <c r="R24" t="s">
        <v>32</v>
      </c>
      <c r="S24">
        <v>5</v>
      </c>
      <c r="T24">
        <v>3</v>
      </c>
      <c r="U24" t="s">
        <v>566</v>
      </c>
      <c r="V24" s="1">
        <v>43523</v>
      </c>
      <c r="W24">
        <v>19</v>
      </c>
      <c r="X24" t="s">
        <v>586</v>
      </c>
    </row>
    <row r="25" spans="1:24" x14ac:dyDescent="0.25">
      <c r="A25" t="s">
        <v>110</v>
      </c>
      <c r="B25">
        <v>10294</v>
      </c>
      <c r="C25" t="s">
        <v>46</v>
      </c>
      <c r="D25" s="1">
        <v>33137</v>
      </c>
      <c r="E25" t="s">
        <v>47</v>
      </c>
      <c r="F25" t="s">
        <v>24</v>
      </c>
      <c r="G25" t="s">
        <v>25</v>
      </c>
      <c r="H25" t="s">
        <v>26</v>
      </c>
      <c r="I25" s="1">
        <v>40637</v>
      </c>
      <c r="J25" t="s">
        <v>582</v>
      </c>
      <c r="K25" s="1" t="s">
        <v>500</v>
      </c>
      <c r="L25" t="s">
        <v>27</v>
      </c>
      <c r="M25" t="s">
        <v>28</v>
      </c>
      <c r="N25" t="s">
        <v>29</v>
      </c>
      <c r="O25" t="s">
        <v>30</v>
      </c>
      <c r="P25">
        <v>22</v>
      </c>
      <c r="Q25" t="s">
        <v>111</v>
      </c>
      <c r="R25" t="s">
        <v>112</v>
      </c>
      <c r="S25">
        <v>2</v>
      </c>
      <c r="T25">
        <v>3</v>
      </c>
      <c r="U25" t="s">
        <v>566</v>
      </c>
      <c r="V25" s="1">
        <v>43523</v>
      </c>
      <c r="W25">
        <v>3</v>
      </c>
      <c r="X25" t="s">
        <v>586</v>
      </c>
    </row>
    <row r="26" spans="1:24" x14ac:dyDescent="0.25">
      <c r="A26" t="s">
        <v>113</v>
      </c>
      <c r="B26">
        <v>10267</v>
      </c>
      <c r="C26" t="s">
        <v>46</v>
      </c>
      <c r="D26" s="1">
        <v>24488</v>
      </c>
      <c r="E26" t="s">
        <v>47</v>
      </c>
      <c r="F26" t="s">
        <v>24</v>
      </c>
      <c r="G26" t="s">
        <v>25</v>
      </c>
      <c r="H26" t="s">
        <v>26</v>
      </c>
      <c r="I26" s="1">
        <v>40553</v>
      </c>
      <c r="J26" t="s">
        <v>582</v>
      </c>
      <c r="K26" s="1">
        <v>41733</v>
      </c>
      <c r="L26" t="s">
        <v>38</v>
      </c>
      <c r="M26" t="s">
        <v>39</v>
      </c>
      <c r="N26" t="s">
        <v>29</v>
      </c>
      <c r="O26" t="s">
        <v>52</v>
      </c>
      <c r="P26">
        <v>16</v>
      </c>
      <c r="Q26" t="s">
        <v>57</v>
      </c>
      <c r="R26" t="s">
        <v>43</v>
      </c>
      <c r="S26">
        <v>4.8</v>
      </c>
      <c r="T26">
        <v>5</v>
      </c>
      <c r="U26" t="s">
        <v>564</v>
      </c>
      <c r="V26" s="1">
        <v>41702</v>
      </c>
      <c r="W26">
        <v>5</v>
      </c>
      <c r="X26" t="s">
        <v>584</v>
      </c>
    </row>
    <row r="27" spans="1:24" x14ac:dyDescent="0.25">
      <c r="A27" t="s">
        <v>114</v>
      </c>
      <c r="B27">
        <v>10199</v>
      </c>
      <c r="C27" t="s">
        <v>115</v>
      </c>
      <c r="D27" s="1">
        <v>23588</v>
      </c>
      <c r="E27" t="s">
        <v>23</v>
      </c>
      <c r="F27" t="s">
        <v>24</v>
      </c>
      <c r="G27" t="s">
        <v>25</v>
      </c>
      <c r="H27" t="s">
        <v>70</v>
      </c>
      <c r="I27" s="1">
        <v>41687</v>
      </c>
      <c r="J27" t="s">
        <v>584</v>
      </c>
      <c r="K27" s="1">
        <v>42419</v>
      </c>
      <c r="L27" t="s">
        <v>116</v>
      </c>
      <c r="M27" t="s">
        <v>95</v>
      </c>
      <c r="N27" t="s">
        <v>40</v>
      </c>
      <c r="O27" t="s">
        <v>41</v>
      </c>
      <c r="P27">
        <v>4</v>
      </c>
      <c r="Q27" t="s">
        <v>31</v>
      </c>
      <c r="R27" t="s">
        <v>43</v>
      </c>
      <c r="S27">
        <v>3.5</v>
      </c>
      <c r="T27">
        <v>5</v>
      </c>
      <c r="U27" t="s">
        <v>564</v>
      </c>
      <c r="V27" s="1">
        <v>42379</v>
      </c>
      <c r="W27">
        <v>2</v>
      </c>
      <c r="X27" t="s">
        <v>585</v>
      </c>
    </row>
    <row r="28" spans="1:24" x14ac:dyDescent="0.25">
      <c r="A28" t="s">
        <v>117</v>
      </c>
      <c r="B28">
        <v>10081</v>
      </c>
      <c r="C28" t="s">
        <v>118</v>
      </c>
      <c r="D28" s="1">
        <v>31871</v>
      </c>
      <c r="E28" t="s">
        <v>47</v>
      </c>
      <c r="F28" t="s">
        <v>36</v>
      </c>
      <c r="G28" t="s">
        <v>25</v>
      </c>
      <c r="H28" t="s">
        <v>70</v>
      </c>
      <c r="I28" s="1">
        <v>42051</v>
      </c>
      <c r="J28" t="s">
        <v>584</v>
      </c>
      <c r="K28" s="1" t="s">
        <v>500</v>
      </c>
      <c r="L28" t="s">
        <v>27</v>
      </c>
      <c r="M28" t="s">
        <v>28</v>
      </c>
      <c r="N28" t="s">
        <v>119</v>
      </c>
      <c r="O28" t="s">
        <v>120</v>
      </c>
      <c r="P28">
        <v>3</v>
      </c>
      <c r="Q28" t="s">
        <v>72</v>
      </c>
      <c r="R28" t="s">
        <v>43</v>
      </c>
      <c r="S28">
        <v>5</v>
      </c>
      <c r="T28">
        <v>4</v>
      </c>
      <c r="U28" t="s">
        <v>565</v>
      </c>
      <c r="V28" s="1">
        <v>43514</v>
      </c>
      <c r="W28">
        <v>4</v>
      </c>
      <c r="X28" t="s">
        <v>586</v>
      </c>
    </row>
    <row r="29" spans="1:24" x14ac:dyDescent="0.25">
      <c r="A29" t="s">
        <v>121</v>
      </c>
      <c r="B29">
        <v>10175</v>
      </c>
      <c r="C29" t="s">
        <v>122</v>
      </c>
      <c r="D29" s="1">
        <v>25637</v>
      </c>
      <c r="E29" t="s">
        <v>23</v>
      </c>
      <c r="F29" t="s">
        <v>24</v>
      </c>
      <c r="G29" t="s">
        <v>25</v>
      </c>
      <c r="H29" t="s">
        <v>105</v>
      </c>
      <c r="I29" s="1">
        <v>41547</v>
      </c>
      <c r="J29" t="s">
        <v>583</v>
      </c>
      <c r="K29" s="1">
        <v>41858</v>
      </c>
      <c r="L29" t="s">
        <v>123</v>
      </c>
      <c r="M29" t="s">
        <v>39</v>
      </c>
      <c r="N29" t="s">
        <v>29</v>
      </c>
      <c r="O29" t="s">
        <v>124</v>
      </c>
      <c r="P29">
        <v>2</v>
      </c>
      <c r="Q29" t="s">
        <v>42</v>
      </c>
      <c r="R29" t="s">
        <v>43</v>
      </c>
      <c r="S29">
        <v>3.39</v>
      </c>
      <c r="T29">
        <v>3</v>
      </c>
      <c r="U29" t="s">
        <v>566</v>
      </c>
      <c r="V29" s="1">
        <v>41690</v>
      </c>
      <c r="W29">
        <v>14</v>
      </c>
      <c r="X29" t="s">
        <v>584</v>
      </c>
    </row>
    <row r="30" spans="1:24" x14ac:dyDescent="0.25">
      <c r="A30" t="s">
        <v>126</v>
      </c>
      <c r="B30">
        <v>10177</v>
      </c>
      <c r="C30" t="s">
        <v>22</v>
      </c>
      <c r="D30" s="1">
        <v>33109</v>
      </c>
      <c r="E30" t="s">
        <v>47</v>
      </c>
      <c r="F30" t="s">
        <v>36</v>
      </c>
      <c r="G30" t="s">
        <v>25</v>
      </c>
      <c r="H30" t="s">
        <v>26</v>
      </c>
      <c r="I30" s="1">
        <v>41001</v>
      </c>
      <c r="J30" t="s">
        <v>583</v>
      </c>
      <c r="K30" s="1">
        <v>41440</v>
      </c>
      <c r="L30" t="s">
        <v>79</v>
      </c>
      <c r="M30" t="s">
        <v>39</v>
      </c>
      <c r="N30" t="s">
        <v>29</v>
      </c>
      <c r="O30" t="s">
        <v>80</v>
      </c>
      <c r="P30">
        <v>14</v>
      </c>
      <c r="Q30" t="s">
        <v>57</v>
      </c>
      <c r="R30" t="s">
        <v>43</v>
      </c>
      <c r="S30">
        <v>3.35</v>
      </c>
      <c r="T30">
        <v>4</v>
      </c>
      <c r="U30" t="s">
        <v>565</v>
      </c>
      <c r="V30" s="1">
        <v>41337</v>
      </c>
      <c r="W30">
        <v>6</v>
      </c>
      <c r="X30" t="s">
        <v>583</v>
      </c>
    </row>
    <row r="31" spans="1:24" x14ac:dyDescent="0.25">
      <c r="A31" t="s">
        <v>127</v>
      </c>
      <c r="B31">
        <v>10238</v>
      </c>
      <c r="C31" t="s">
        <v>128</v>
      </c>
      <c r="D31" s="1">
        <v>31801</v>
      </c>
      <c r="E31" t="s">
        <v>47</v>
      </c>
      <c r="F31" t="s">
        <v>36</v>
      </c>
      <c r="G31" t="s">
        <v>25</v>
      </c>
      <c r="H31" t="s">
        <v>70</v>
      </c>
      <c r="I31" s="1">
        <v>39748</v>
      </c>
      <c r="J31" t="s">
        <v>581</v>
      </c>
      <c r="K31" s="1" t="s">
        <v>500</v>
      </c>
      <c r="L31" t="s">
        <v>27</v>
      </c>
      <c r="M31" t="s">
        <v>28</v>
      </c>
      <c r="N31" t="s">
        <v>119</v>
      </c>
      <c r="O31" t="s">
        <v>120</v>
      </c>
      <c r="P31">
        <v>1</v>
      </c>
      <c r="Q31" t="s">
        <v>72</v>
      </c>
      <c r="R31" t="s">
        <v>43</v>
      </c>
      <c r="S31">
        <v>4.5</v>
      </c>
      <c r="T31">
        <v>2</v>
      </c>
      <c r="U31" t="s">
        <v>568</v>
      </c>
      <c r="V31" s="1">
        <v>43480</v>
      </c>
      <c r="W31">
        <v>14</v>
      </c>
      <c r="X31" t="s">
        <v>586</v>
      </c>
    </row>
    <row r="32" spans="1:24" x14ac:dyDescent="0.25">
      <c r="A32" t="s">
        <v>130</v>
      </c>
      <c r="B32">
        <v>10184</v>
      </c>
      <c r="C32" t="s">
        <v>46</v>
      </c>
      <c r="D32" s="1">
        <v>30525</v>
      </c>
      <c r="E32" t="s">
        <v>23</v>
      </c>
      <c r="F32" t="s">
        <v>24</v>
      </c>
      <c r="G32" t="s">
        <v>25</v>
      </c>
      <c r="H32" t="s">
        <v>26</v>
      </c>
      <c r="I32" s="1">
        <v>41911</v>
      </c>
      <c r="J32" t="s">
        <v>584</v>
      </c>
      <c r="K32" s="1" t="s">
        <v>500</v>
      </c>
      <c r="L32" t="s">
        <v>27</v>
      </c>
      <c r="M32" t="s">
        <v>28</v>
      </c>
      <c r="N32" t="s">
        <v>29</v>
      </c>
      <c r="O32" t="s">
        <v>56</v>
      </c>
      <c r="Q32" t="s">
        <v>57</v>
      </c>
      <c r="R32" t="s">
        <v>43</v>
      </c>
      <c r="S32">
        <v>3.19</v>
      </c>
      <c r="T32">
        <v>3</v>
      </c>
      <c r="U32" t="s">
        <v>566</v>
      </c>
      <c r="V32" s="1">
        <v>43497</v>
      </c>
      <c r="W32">
        <v>9</v>
      </c>
      <c r="X32" t="s">
        <v>586</v>
      </c>
    </row>
    <row r="33" spans="1:24" x14ac:dyDescent="0.25">
      <c r="A33" t="s">
        <v>131</v>
      </c>
      <c r="B33">
        <v>10203</v>
      </c>
      <c r="C33" t="s">
        <v>22</v>
      </c>
      <c r="D33" s="1">
        <v>25506</v>
      </c>
      <c r="E33" t="s">
        <v>47</v>
      </c>
      <c r="F33" t="s">
        <v>132</v>
      </c>
      <c r="G33" t="s">
        <v>25</v>
      </c>
      <c r="H33" t="s">
        <v>70</v>
      </c>
      <c r="I33" s="1">
        <v>41285</v>
      </c>
      <c r="J33" t="s">
        <v>583</v>
      </c>
      <c r="K33" s="1" t="s">
        <v>500</v>
      </c>
      <c r="L33" t="s">
        <v>27</v>
      </c>
      <c r="M33" t="s">
        <v>28</v>
      </c>
      <c r="N33" t="s">
        <v>29</v>
      </c>
      <c r="O33" t="s">
        <v>49</v>
      </c>
      <c r="P33">
        <v>20</v>
      </c>
      <c r="Q33" t="s">
        <v>72</v>
      </c>
      <c r="R33" t="s">
        <v>43</v>
      </c>
      <c r="S33">
        <v>3.5</v>
      </c>
      <c r="T33">
        <v>5</v>
      </c>
      <c r="U33" t="s">
        <v>564</v>
      </c>
      <c r="V33" s="1">
        <v>43486</v>
      </c>
      <c r="W33">
        <v>17</v>
      </c>
      <c r="X33" t="s">
        <v>586</v>
      </c>
    </row>
    <row r="34" spans="1:24" x14ac:dyDescent="0.25">
      <c r="A34" t="s">
        <v>134</v>
      </c>
      <c r="B34">
        <v>10188</v>
      </c>
      <c r="C34" t="s">
        <v>135</v>
      </c>
      <c r="D34" s="1">
        <v>23529</v>
      </c>
      <c r="E34" t="s">
        <v>47</v>
      </c>
      <c r="F34" t="s">
        <v>36</v>
      </c>
      <c r="G34" t="s">
        <v>99</v>
      </c>
      <c r="H34" t="s">
        <v>70</v>
      </c>
      <c r="I34" s="1">
        <v>40770</v>
      </c>
      <c r="J34" t="s">
        <v>582</v>
      </c>
      <c r="K34" s="1">
        <v>41853</v>
      </c>
      <c r="L34" t="s">
        <v>79</v>
      </c>
      <c r="M34" t="s">
        <v>39</v>
      </c>
      <c r="N34" t="s">
        <v>136</v>
      </c>
      <c r="O34" t="s">
        <v>137</v>
      </c>
      <c r="P34">
        <v>17</v>
      </c>
      <c r="Q34" t="s">
        <v>57</v>
      </c>
      <c r="R34" t="s">
        <v>43</v>
      </c>
      <c r="S34">
        <v>3.14</v>
      </c>
      <c r="T34">
        <v>5</v>
      </c>
      <c r="U34" t="s">
        <v>564</v>
      </c>
      <c r="V34" s="1">
        <v>41315</v>
      </c>
      <c r="W34">
        <v>19</v>
      </c>
      <c r="X34" t="s">
        <v>583</v>
      </c>
    </row>
    <row r="35" spans="1:24" x14ac:dyDescent="0.25">
      <c r="A35" t="s">
        <v>138</v>
      </c>
      <c r="B35">
        <v>10107</v>
      </c>
      <c r="C35" t="s">
        <v>46</v>
      </c>
      <c r="D35" s="1">
        <v>29282</v>
      </c>
      <c r="E35" t="s">
        <v>47</v>
      </c>
      <c r="F35" t="s">
        <v>24</v>
      </c>
      <c r="G35" t="s">
        <v>25</v>
      </c>
      <c r="H35" t="s">
        <v>70</v>
      </c>
      <c r="I35" s="1">
        <v>40973</v>
      </c>
      <c r="J35" t="s">
        <v>583</v>
      </c>
      <c r="K35" s="1" t="s">
        <v>500</v>
      </c>
      <c r="L35" t="s">
        <v>27</v>
      </c>
      <c r="M35" t="s">
        <v>28</v>
      </c>
      <c r="N35" t="s">
        <v>29</v>
      </c>
      <c r="O35" t="s">
        <v>59</v>
      </c>
      <c r="P35">
        <v>11</v>
      </c>
      <c r="Q35" t="s">
        <v>67</v>
      </c>
      <c r="R35" t="s">
        <v>43</v>
      </c>
      <c r="S35">
        <v>4.51</v>
      </c>
      <c r="T35">
        <v>4</v>
      </c>
      <c r="U35" t="s">
        <v>565</v>
      </c>
      <c r="V35" s="1">
        <v>43517</v>
      </c>
      <c r="W35">
        <v>3</v>
      </c>
      <c r="X35" t="s">
        <v>586</v>
      </c>
    </row>
    <row r="36" spans="1:24" x14ac:dyDescent="0.25">
      <c r="A36" t="s">
        <v>140</v>
      </c>
      <c r="B36">
        <v>10181</v>
      </c>
      <c r="C36" t="s">
        <v>46</v>
      </c>
      <c r="D36" s="1">
        <v>28356</v>
      </c>
      <c r="E36" t="s">
        <v>23</v>
      </c>
      <c r="F36" t="s">
        <v>36</v>
      </c>
      <c r="G36" t="s">
        <v>25</v>
      </c>
      <c r="H36" t="s">
        <v>26</v>
      </c>
      <c r="I36" s="1">
        <v>40637</v>
      </c>
      <c r="J36" t="s">
        <v>582</v>
      </c>
      <c r="K36" s="1" t="s">
        <v>500</v>
      </c>
      <c r="L36" t="s">
        <v>27</v>
      </c>
      <c r="M36" t="s">
        <v>28</v>
      </c>
      <c r="N36" t="s">
        <v>29</v>
      </c>
      <c r="O36" t="s">
        <v>66</v>
      </c>
      <c r="P36">
        <v>19</v>
      </c>
      <c r="Q36" t="s">
        <v>42</v>
      </c>
      <c r="R36" t="s">
        <v>43</v>
      </c>
      <c r="S36">
        <v>3.25</v>
      </c>
      <c r="T36">
        <v>5</v>
      </c>
      <c r="U36" t="s">
        <v>564</v>
      </c>
      <c r="V36" s="1">
        <v>43479</v>
      </c>
      <c r="W36">
        <v>15</v>
      </c>
      <c r="X36" t="s">
        <v>586</v>
      </c>
    </row>
    <row r="37" spans="1:24" x14ac:dyDescent="0.25">
      <c r="A37" t="s">
        <v>141</v>
      </c>
      <c r="B37">
        <v>10150</v>
      </c>
      <c r="C37" t="s">
        <v>142</v>
      </c>
      <c r="D37" s="1">
        <v>24129</v>
      </c>
      <c r="E37" t="s">
        <v>23</v>
      </c>
      <c r="F37" t="s">
        <v>24</v>
      </c>
      <c r="G37" t="s">
        <v>25</v>
      </c>
      <c r="H37" t="s">
        <v>26</v>
      </c>
      <c r="I37" s="1">
        <v>40770</v>
      </c>
      <c r="J37" t="s">
        <v>582</v>
      </c>
      <c r="K37" s="1" t="s">
        <v>500</v>
      </c>
      <c r="L37" t="s">
        <v>27</v>
      </c>
      <c r="M37" t="s">
        <v>28</v>
      </c>
      <c r="N37" t="s">
        <v>62</v>
      </c>
      <c r="O37" t="s">
        <v>143</v>
      </c>
      <c r="P37">
        <v>5</v>
      </c>
      <c r="Q37" t="s">
        <v>57</v>
      </c>
      <c r="R37" t="s">
        <v>43</v>
      </c>
      <c r="S37">
        <v>3.84</v>
      </c>
      <c r="T37">
        <v>3</v>
      </c>
      <c r="U37" t="s">
        <v>566</v>
      </c>
      <c r="V37" s="1">
        <v>43486</v>
      </c>
      <c r="W37">
        <v>4</v>
      </c>
      <c r="X37" t="s">
        <v>586</v>
      </c>
    </row>
    <row r="38" spans="1:24" x14ac:dyDescent="0.25">
      <c r="A38" t="s">
        <v>144</v>
      </c>
      <c r="B38">
        <v>10001</v>
      </c>
      <c r="C38" t="s">
        <v>122</v>
      </c>
      <c r="D38" s="1">
        <v>30537</v>
      </c>
      <c r="E38" t="s">
        <v>23</v>
      </c>
      <c r="F38" t="s">
        <v>24</v>
      </c>
      <c r="G38" t="s">
        <v>25</v>
      </c>
      <c r="H38" t="s">
        <v>26</v>
      </c>
      <c r="I38" s="1">
        <v>42397</v>
      </c>
      <c r="J38" t="s">
        <v>585</v>
      </c>
      <c r="K38" s="1" t="s">
        <v>500</v>
      </c>
      <c r="L38" t="s">
        <v>27</v>
      </c>
      <c r="M38" t="s">
        <v>28</v>
      </c>
      <c r="N38" t="s">
        <v>29</v>
      </c>
      <c r="O38" t="s">
        <v>124</v>
      </c>
      <c r="P38">
        <v>2</v>
      </c>
      <c r="Q38" t="s">
        <v>42</v>
      </c>
      <c r="R38" t="s">
        <v>32</v>
      </c>
      <c r="S38">
        <v>5</v>
      </c>
      <c r="T38">
        <v>3</v>
      </c>
      <c r="U38" t="s">
        <v>566</v>
      </c>
      <c r="V38" s="1">
        <v>43518</v>
      </c>
      <c r="W38">
        <v>14</v>
      </c>
      <c r="X38" t="s">
        <v>586</v>
      </c>
    </row>
    <row r="39" spans="1:24" x14ac:dyDescent="0.25">
      <c r="A39" t="s">
        <v>146</v>
      </c>
      <c r="B39">
        <v>10085</v>
      </c>
      <c r="C39" t="s">
        <v>61</v>
      </c>
      <c r="D39" s="1">
        <v>31872</v>
      </c>
      <c r="E39" t="s">
        <v>47</v>
      </c>
      <c r="F39" t="s">
        <v>24</v>
      </c>
      <c r="G39" t="s">
        <v>25</v>
      </c>
      <c r="H39" t="s">
        <v>26</v>
      </c>
      <c r="I39" s="1">
        <v>41285</v>
      </c>
      <c r="J39" t="s">
        <v>583</v>
      </c>
      <c r="K39" s="1" t="s">
        <v>500</v>
      </c>
      <c r="L39" t="s">
        <v>27</v>
      </c>
      <c r="M39" t="s">
        <v>28</v>
      </c>
      <c r="N39" t="s">
        <v>62</v>
      </c>
      <c r="O39" t="s">
        <v>63</v>
      </c>
      <c r="P39">
        <v>10</v>
      </c>
      <c r="Q39" t="s">
        <v>42</v>
      </c>
      <c r="R39" t="s">
        <v>43</v>
      </c>
      <c r="S39">
        <v>4.96</v>
      </c>
      <c r="T39">
        <v>4</v>
      </c>
      <c r="U39" t="s">
        <v>565</v>
      </c>
      <c r="V39" s="1">
        <v>43495</v>
      </c>
      <c r="W39">
        <v>3</v>
      </c>
      <c r="X39" t="s">
        <v>586</v>
      </c>
    </row>
    <row r="40" spans="1:24" x14ac:dyDescent="0.25">
      <c r="A40" t="s">
        <v>148</v>
      </c>
      <c r="B40">
        <v>10115</v>
      </c>
      <c r="C40" t="s">
        <v>22</v>
      </c>
      <c r="D40" s="1">
        <v>30349</v>
      </c>
      <c r="E40" t="s">
        <v>23</v>
      </c>
      <c r="F40" t="s">
        <v>24</v>
      </c>
      <c r="G40" t="s">
        <v>25</v>
      </c>
      <c r="H40" t="s">
        <v>70</v>
      </c>
      <c r="I40" s="1">
        <v>41729</v>
      </c>
      <c r="J40" t="s">
        <v>584</v>
      </c>
      <c r="K40" s="1" t="s">
        <v>500</v>
      </c>
      <c r="L40" t="s">
        <v>27</v>
      </c>
      <c r="M40" t="s">
        <v>28</v>
      </c>
      <c r="N40" t="s">
        <v>29</v>
      </c>
      <c r="O40" t="s">
        <v>89</v>
      </c>
      <c r="P40">
        <v>18</v>
      </c>
      <c r="Q40" t="s">
        <v>31</v>
      </c>
      <c r="R40" t="s">
        <v>43</v>
      </c>
      <c r="S40">
        <v>4.43</v>
      </c>
      <c r="T40">
        <v>3</v>
      </c>
      <c r="U40" t="s">
        <v>566</v>
      </c>
      <c r="V40" s="1">
        <v>43497</v>
      </c>
      <c r="W40">
        <v>14</v>
      </c>
      <c r="X40" t="s">
        <v>586</v>
      </c>
    </row>
    <row r="41" spans="1:24" x14ac:dyDescent="0.25">
      <c r="A41" t="s">
        <v>149</v>
      </c>
      <c r="B41">
        <v>10082</v>
      </c>
      <c r="C41" t="s">
        <v>35</v>
      </c>
      <c r="D41" s="1">
        <v>31569</v>
      </c>
      <c r="E41" t="s">
        <v>47</v>
      </c>
      <c r="F41" t="s">
        <v>24</v>
      </c>
      <c r="G41" t="s">
        <v>25</v>
      </c>
      <c r="H41" t="s">
        <v>70</v>
      </c>
      <c r="I41" s="1">
        <v>42551</v>
      </c>
      <c r="J41" t="s">
        <v>585</v>
      </c>
      <c r="K41" s="1" t="s">
        <v>500</v>
      </c>
      <c r="L41" t="s">
        <v>27</v>
      </c>
      <c r="M41" t="s">
        <v>28</v>
      </c>
      <c r="N41" t="s">
        <v>40</v>
      </c>
      <c r="O41" t="s">
        <v>41</v>
      </c>
      <c r="P41">
        <v>4</v>
      </c>
      <c r="Q41" t="s">
        <v>31</v>
      </c>
      <c r="R41" t="s">
        <v>43</v>
      </c>
      <c r="S41">
        <v>5</v>
      </c>
      <c r="T41">
        <v>5</v>
      </c>
      <c r="U41" t="s">
        <v>564</v>
      </c>
      <c r="V41" s="1">
        <v>43514</v>
      </c>
      <c r="W41">
        <v>7</v>
      </c>
      <c r="X41" t="s">
        <v>586</v>
      </c>
    </row>
    <row r="42" spans="1:24" x14ac:dyDescent="0.25">
      <c r="A42" t="s">
        <v>150</v>
      </c>
      <c r="B42">
        <v>10040</v>
      </c>
      <c r="C42" t="s">
        <v>135</v>
      </c>
      <c r="D42" s="1">
        <v>23146</v>
      </c>
      <c r="E42" t="s">
        <v>47</v>
      </c>
      <c r="F42" t="s">
        <v>24</v>
      </c>
      <c r="G42" t="s">
        <v>25</v>
      </c>
      <c r="H42" t="s">
        <v>26</v>
      </c>
      <c r="I42" s="1">
        <v>41869</v>
      </c>
      <c r="J42" t="s">
        <v>584</v>
      </c>
      <c r="K42" s="1" t="s">
        <v>500</v>
      </c>
      <c r="L42" t="s">
        <v>27</v>
      </c>
      <c r="M42" t="s">
        <v>28</v>
      </c>
      <c r="N42" t="s">
        <v>136</v>
      </c>
      <c r="O42" t="s">
        <v>137</v>
      </c>
      <c r="P42">
        <v>17</v>
      </c>
      <c r="Q42" t="s">
        <v>42</v>
      </c>
      <c r="R42" t="s">
        <v>43</v>
      </c>
      <c r="S42">
        <v>5</v>
      </c>
      <c r="T42">
        <v>5</v>
      </c>
      <c r="U42" t="s">
        <v>564</v>
      </c>
      <c r="V42" s="1">
        <v>43486</v>
      </c>
      <c r="W42">
        <v>7</v>
      </c>
      <c r="X42" t="s">
        <v>586</v>
      </c>
    </row>
    <row r="43" spans="1:24" x14ac:dyDescent="0.25">
      <c r="A43" t="s">
        <v>151</v>
      </c>
      <c r="B43">
        <v>10067</v>
      </c>
      <c r="C43" t="s">
        <v>22</v>
      </c>
      <c r="D43" s="1">
        <v>18630</v>
      </c>
      <c r="E43" t="s">
        <v>47</v>
      </c>
      <c r="F43" t="s">
        <v>24</v>
      </c>
      <c r="G43" t="s">
        <v>25</v>
      </c>
      <c r="H43" t="s">
        <v>26</v>
      </c>
      <c r="I43" s="1">
        <v>41911</v>
      </c>
      <c r="J43" t="s">
        <v>584</v>
      </c>
      <c r="K43" s="1" t="s">
        <v>500</v>
      </c>
      <c r="L43" t="s">
        <v>27</v>
      </c>
      <c r="M43" t="s">
        <v>28</v>
      </c>
      <c r="N43" t="s">
        <v>29</v>
      </c>
      <c r="O43" t="s">
        <v>30</v>
      </c>
      <c r="P43">
        <v>22</v>
      </c>
      <c r="Q43" t="s">
        <v>57</v>
      </c>
      <c r="R43" t="s">
        <v>43</v>
      </c>
      <c r="S43">
        <v>5</v>
      </c>
      <c r="T43">
        <v>4</v>
      </c>
      <c r="U43" t="s">
        <v>565</v>
      </c>
      <c r="V43" s="1">
        <v>43508</v>
      </c>
      <c r="W43">
        <v>11</v>
      </c>
      <c r="X43" t="s">
        <v>586</v>
      </c>
    </row>
    <row r="44" spans="1:24" x14ac:dyDescent="0.25">
      <c r="A44" t="s">
        <v>152</v>
      </c>
      <c r="B44">
        <v>10108</v>
      </c>
      <c r="C44" t="s">
        <v>153</v>
      </c>
      <c r="D44" s="1">
        <v>26338</v>
      </c>
      <c r="E44" t="s">
        <v>23</v>
      </c>
      <c r="F44" t="s">
        <v>36</v>
      </c>
      <c r="G44" t="s">
        <v>25</v>
      </c>
      <c r="H44" t="s">
        <v>26</v>
      </c>
      <c r="I44" s="1">
        <v>42619</v>
      </c>
      <c r="J44" t="s">
        <v>585</v>
      </c>
      <c r="K44" s="1" t="s">
        <v>500</v>
      </c>
      <c r="L44" t="s">
        <v>27</v>
      </c>
      <c r="M44" t="s">
        <v>28</v>
      </c>
      <c r="N44" t="s">
        <v>40</v>
      </c>
      <c r="O44" t="s">
        <v>143</v>
      </c>
      <c r="P44">
        <v>5</v>
      </c>
      <c r="Q44" t="s">
        <v>42</v>
      </c>
      <c r="R44" t="s">
        <v>43</v>
      </c>
      <c r="S44">
        <v>4.5</v>
      </c>
      <c r="T44">
        <v>5</v>
      </c>
      <c r="U44" t="s">
        <v>564</v>
      </c>
      <c r="V44" s="1">
        <v>43480</v>
      </c>
      <c r="W44">
        <v>8</v>
      </c>
      <c r="X44" t="s">
        <v>586</v>
      </c>
    </row>
    <row r="45" spans="1:24" x14ac:dyDescent="0.25">
      <c r="A45" t="s">
        <v>154</v>
      </c>
      <c r="B45">
        <v>10210</v>
      </c>
      <c r="C45" t="s">
        <v>22</v>
      </c>
      <c r="D45" s="1">
        <v>28898</v>
      </c>
      <c r="E45" t="s">
        <v>47</v>
      </c>
      <c r="F45" t="s">
        <v>24</v>
      </c>
      <c r="G45" t="s">
        <v>25</v>
      </c>
      <c r="H45" t="s">
        <v>26</v>
      </c>
      <c r="I45" s="1">
        <v>41771</v>
      </c>
      <c r="J45" t="s">
        <v>584</v>
      </c>
      <c r="K45" s="1" t="s">
        <v>500</v>
      </c>
      <c r="L45" t="s">
        <v>27</v>
      </c>
      <c r="M45" t="s">
        <v>28</v>
      </c>
      <c r="N45" t="s">
        <v>29</v>
      </c>
      <c r="O45" t="s">
        <v>52</v>
      </c>
      <c r="P45">
        <v>16</v>
      </c>
      <c r="Q45" t="s">
        <v>42</v>
      </c>
      <c r="R45" t="s">
        <v>43</v>
      </c>
      <c r="S45">
        <v>3.3</v>
      </c>
      <c r="T45">
        <v>4</v>
      </c>
      <c r="U45" t="s">
        <v>565</v>
      </c>
      <c r="V45" s="1">
        <v>43515</v>
      </c>
      <c r="W45">
        <v>11</v>
      </c>
      <c r="X45" t="s">
        <v>586</v>
      </c>
    </row>
    <row r="46" spans="1:24" x14ac:dyDescent="0.25">
      <c r="A46" t="s">
        <v>156</v>
      </c>
      <c r="B46">
        <v>10154</v>
      </c>
      <c r="C46" t="s">
        <v>22</v>
      </c>
      <c r="D46" s="1">
        <v>30552</v>
      </c>
      <c r="E46" t="s">
        <v>23</v>
      </c>
      <c r="F46" t="s">
        <v>24</v>
      </c>
      <c r="G46" t="s">
        <v>25</v>
      </c>
      <c r="H46" t="s">
        <v>26</v>
      </c>
      <c r="I46" s="1">
        <v>41463</v>
      </c>
      <c r="J46" t="s">
        <v>583</v>
      </c>
      <c r="K46" s="1" t="s">
        <v>500</v>
      </c>
      <c r="L46" t="s">
        <v>27</v>
      </c>
      <c r="M46" t="s">
        <v>28</v>
      </c>
      <c r="N46" t="s">
        <v>29</v>
      </c>
      <c r="O46" t="s">
        <v>56</v>
      </c>
      <c r="Q46" t="s">
        <v>31</v>
      </c>
      <c r="R46" t="s">
        <v>43</v>
      </c>
      <c r="S46">
        <v>3.8</v>
      </c>
      <c r="T46">
        <v>5</v>
      </c>
      <c r="U46" t="s">
        <v>564</v>
      </c>
      <c r="V46" s="1">
        <v>43479</v>
      </c>
      <c r="W46">
        <v>4</v>
      </c>
      <c r="X46" t="s">
        <v>586</v>
      </c>
    </row>
    <row r="47" spans="1:24" x14ac:dyDescent="0.25">
      <c r="A47" t="s">
        <v>157</v>
      </c>
      <c r="B47">
        <v>10200</v>
      </c>
      <c r="C47" t="s">
        <v>135</v>
      </c>
      <c r="D47" s="1">
        <v>25730</v>
      </c>
      <c r="E47" t="s">
        <v>23</v>
      </c>
      <c r="F47" t="s">
        <v>24</v>
      </c>
      <c r="G47" t="s">
        <v>99</v>
      </c>
      <c r="H47" t="s">
        <v>70</v>
      </c>
      <c r="I47" s="1">
        <v>41043</v>
      </c>
      <c r="J47" t="s">
        <v>583</v>
      </c>
      <c r="K47" s="1" t="s">
        <v>500</v>
      </c>
      <c r="L47" t="s">
        <v>27</v>
      </c>
      <c r="M47" t="s">
        <v>28</v>
      </c>
      <c r="N47" t="s">
        <v>136</v>
      </c>
      <c r="O47" t="s">
        <v>158</v>
      </c>
      <c r="P47">
        <v>21</v>
      </c>
      <c r="Q47" t="s">
        <v>67</v>
      </c>
      <c r="R47" t="s">
        <v>43</v>
      </c>
      <c r="S47">
        <v>3</v>
      </c>
      <c r="T47">
        <v>5</v>
      </c>
      <c r="U47" t="s">
        <v>564</v>
      </c>
      <c r="V47" s="1">
        <v>43484</v>
      </c>
      <c r="W47">
        <v>17</v>
      </c>
      <c r="X47" t="s">
        <v>586</v>
      </c>
    </row>
    <row r="48" spans="1:24" x14ac:dyDescent="0.25">
      <c r="A48" t="s">
        <v>160</v>
      </c>
      <c r="B48">
        <v>10240</v>
      </c>
      <c r="C48" t="s">
        <v>22</v>
      </c>
      <c r="D48" s="1">
        <v>30555</v>
      </c>
      <c r="E48" t="s">
        <v>47</v>
      </c>
      <c r="F48" t="s">
        <v>24</v>
      </c>
      <c r="G48" t="s">
        <v>25</v>
      </c>
      <c r="H48" t="s">
        <v>26</v>
      </c>
      <c r="I48" s="1">
        <v>40721</v>
      </c>
      <c r="J48" t="s">
        <v>582</v>
      </c>
      <c r="K48" s="1">
        <v>42323</v>
      </c>
      <c r="L48" t="s">
        <v>161</v>
      </c>
      <c r="M48" t="s">
        <v>39</v>
      </c>
      <c r="N48" t="s">
        <v>29</v>
      </c>
      <c r="O48" t="s">
        <v>59</v>
      </c>
      <c r="P48">
        <v>11</v>
      </c>
      <c r="Q48" t="s">
        <v>42</v>
      </c>
      <c r="R48" t="s">
        <v>43</v>
      </c>
      <c r="S48">
        <v>4.3</v>
      </c>
      <c r="T48">
        <v>4</v>
      </c>
      <c r="U48" t="s">
        <v>565</v>
      </c>
      <c r="V48" s="1">
        <v>42073</v>
      </c>
      <c r="W48">
        <v>3</v>
      </c>
      <c r="X48" t="s">
        <v>584</v>
      </c>
    </row>
    <row r="49" spans="1:24" x14ac:dyDescent="0.25">
      <c r="A49" t="s">
        <v>162</v>
      </c>
      <c r="B49">
        <v>10168</v>
      </c>
      <c r="C49" t="s">
        <v>22</v>
      </c>
      <c r="D49" s="1">
        <v>32294</v>
      </c>
      <c r="E49" t="s">
        <v>47</v>
      </c>
      <c r="F49" t="s">
        <v>24</v>
      </c>
      <c r="G49" t="s">
        <v>163</v>
      </c>
      <c r="H49" t="s">
        <v>70</v>
      </c>
      <c r="I49" s="1">
        <v>40819</v>
      </c>
      <c r="J49" t="s">
        <v>582</v>
      </c>
      <c r="K49" s="1" t="s">
        <v>500</v>
      </c>
      <c r="L49" t="s">
        <v>27</v>
      </c>
      <c r="M49" t="s">
        <v>28</v>
      </c>
      <c r="N49" t="s">
        <v>29</v>
      </c>
      <c r="O49" t="s">
        <v>66</v>
      </c>
      <c r="P49">
        <v>19</v>
      </c>
      <c r="Q49" t="s">
        <v>42</v>
      </c>
      <c r="R49" t="s">
        <v>43</v>
      </c>
      <c r="S49">
        <v>3.58</v>
      </c>
      <c r="T49">
        <v>5</v>
      </c>
      <c r="U49" t="s">
        <v>564</v>
      </c>
      <c r="V49" s="1">
        <v>43495</v>
      </c>
      <c r="W49">
        <v>3</v>
      </c>
      <c r="X49" t="s">
        <v>586</v>
      </c>
    </row>
    <row r="50" spans="1:24" x14ac:dyDescent="0.25">
      <c r="A50" t="s">
        <v>164</v>
      </c>
      <c r="B50">
        <v>10220</v>
      </c>
      <c r="C50" t="s">
        <v>75</v>
      </c>
      <c r="D50" s="1">
        <v>31295</v>
      </c>
      <c r="E50" t="s">
        <v>23</v>
      </c>
      <c r="F50" t="s">
        <v>24</v>
      </c>
      <c r="G50" t="s">
        <v>25</v>
      </c>
      <c r="H50" t="s">
        <v>26</v>
      </c>
      <c r="I50" s="1">
        <v>41157</v>
      </c>
      <c r="J50" t="s">
        <v>583</v>
      </c>
      <c r="K50" s="1" t="s">
        <v>500</v>
      </c>
      <c r="L50" t="s">
        <v>27</v>
      </c>
      <c r="M50" t="s">
        <v>28</v>
      </c>
      <c r="N50" t="s">
        <v>40</v>
      </c>
      <c r="O50" t="s">
        <v>165</v>
      </c>
      <c r="P50">
        <v>6</v>
      </c>
      <c r="Q50" t="s">
        <v>42</v>
      </c>
      <c r="R50" t="s">
        <v>43</v>
      </c>
      <c r="S50">
        <v>4.7</v>
      </c>
      <c r="T50">
        <v>3</v>
      </c>
      <c r="U50" t="s">
        <v>566</v>
      </c>
      <c r="V50" s="1">
        <v>43523</v>
      </c>
      <c r="W50">
        <v>2</v>
      </c>
      <c r="X50" t="s">
        <v>586</v>
      </c>
    </row>
    <row r="51" spans="1:24" x14ac:dyDescent="0.25">
      <c r="A51" t="s">
        <v>166</v>
      </c>
      <c r="B51">
        <v>10275</v>
      </c>
      <c r="C51" t="s">
        <v>46</v>
      </c>
      <c r="D51" s="1">
        <v>29829</v>
      </c>
      <c r="E51" t="s">
        <v>47</v>
      </c>
      <c r="F51" t="s">
        <v>36</v>
      </c>
      <c r="G51" t="s">
        <v>25</v>
      </c>
      <c r="H51" t="s">
        <v>26</v>
      </c>
      <c r="I51" s="1">
        <v>40679</v>
      </c>
      <c r="J51" t="s">
        <v>582</v>
      </c>
      <c r="K51" s="1">
        <v>41281</v>
      </c>
      <c r="L51" t="s">
        <v>83</v>
      </c>
      <c r="M51" t="s">
        <v>39</v>
      </c>
      <c r="N51" t="s">
        <v>29</v>
      </c>
      <c r="O51" t="s">
        <v>71</v>
      </c>
      <c r="P51">
        <v>12</v>
      </c>
      <c r="Q51" t="s">
        <v>57</v>
      </c>
      <c r="R51" t="s">
        <v>43</v>
      </c>
      <c r="S51">
        <v>4.2</v>
      </c>
      <c r="T51">
        <v>5</v>
      </c>
      <c r="U51" t="s">
        <v>564</v>
      </c>
      <c r="V51" s="1">
        <v>41032</v>
      </c>
      <c r="W51">
        <v>9</v>
      </c>
      <c r="X51" t="s">
        <v>583</v>
      </c>
    </row>
    <row r="52" spans="1:24" x14ac:dyDescent="0.25">
      <c r="A52" t="s">
        <v>167</v>
      </c>
      <c r="B52">
        <v>10269</v>
      </c>
      <c r="C52" t="s">
        <v>46</v>
      </c>
      <c r="D52" s="1">
        <v>28515</v>
      </c>
      <c r="E52" t="s">
        <v>23</v>
      </c>
      <c r="F52" t="s">
        <v>36</v>
      </c>
      <c r="G52" t="s">
        <v>25</v>
      </c>
      <c r="H52" t="s">
        <v>26</v>
      </c>
      <c r="I52" s="1">
        <v>40420</v>
      </c>
      <c r="J52" t="s">
        <v>582</v>
      </c>
      <c r="K52" s="1">
        <v>40812</v>
      </c>
      <c r="L52" t="s">
        <v>38</v>
      </c>
      <c r="M52" t="s">
        <v>39</v>
      </c>
      <c r="N52" t="s">
        <v>29</v>
      </c>
      <c r="O52" t="s">
        <v>80</v>
      </c>
      <c r="P52">
        <v>14</v>
      </c>
      <c r="Q52" t="s">
        <v>42</v>
      </c>
      <c r="R52" t="s">
        <v>43</v>
      </c>
      <c r="S52">
        <v>4.2</v>
      </c>
      <c r="T52">
        <v>4</v>
      </c>
      <c r="U52" t="s">
        <v>565</v>
      </c>
      <c r="V52" s="1">
        <v>40667</v>
      </c>
      <c r="W52">
        <v>6</v>
      </c>
      <c r="X52" t="s">
        <v>582</v>
      </c>
    </row>
    <row r="53" spans="1:24" x14ac:dyDescent="0.25">
      <c r="A53" t="s">
        <v>168</v>
      </c>
      <c r="B53">
        <v>10029</v>
      </c>
      <c r="C53" t="s">
        <v>22</v>
      </c>
      <c r="D53" s="1">
        <v>29459</v>
      </c>
      <c r="E53" t="s">
        <v>23</v>
      </c>
      <c r="F53" t="s">
        <v>36</v>
      </c>
      <c r="G53" t="s">
        <v>25</v>
      </c>
      <c r="H53" t="s">
        <v>26</v>
      </c>
      <c r="I53" s="1">
        <v>42557</v>
      </c>
      <c r="J53" t="s">
        <v>585</v>
      </c>
      <c r="K53" s="1" t="s">
        <v>500</v>
      </c>
      <c r="L53" t="s">
        <v>27</v>
      </c>
      <c r="M53" t="s">
        <v>28</v>
      </c>
      <c r="N53" t="s">
        <v>29</v>
      </c>
      <c r="O53" t="s">
        <v>71</v>
      </c>
      <c r="P53">
        <v>12</v>
      </c>
      <c r="Q53" t="s">
        <v>67</v>
      </c>
      <c r="R53" t="s">
        <v>32</v>
      </c>
      <c r="S53">
        <v>4.0999999999999996</v>
      </c>
      <c r="T53">
        <v>4</v>
      </c>
      <c r="U53" t="s">
        <v>565</v>
      </c>
      <c r="V53" s="1">
        <v>43524</v>
      </c>
      <c r="W53">
        <v>5</v>
      </c>
      <c r="X53" t="s">
        <v>586</v>
      </c>
    </row>
    <row r="54" spans="1:24" x14ac:dyDescent="0.25">
      <c r="A54" t="s">
        <v>170</v>
      </c>
      <c r="B54">
        <v>10261</v>
      </c>
      <c r="C54" t="s">
        <v>22</v>
      </c>
      <c r="D54" s="1">
        <v>28376</v>
      </c>
      <c r="E54" t="s">
        <v>23</v>
      </c>
      <c r="F54" t="s">
        <v>24</v>
      </c>
      <c r="G54" t="s">
        <v>25</v>
      </c>
      <c r="H54" t="s">
        <v>26</v>
      </c>
      <c r="I54" s="1">
        <v>41463</v>
      </c>
      <c r="J54" t="s">
        <v>583</v>
      </c>
      <c r="K54" s="1" t="s">
        <v>500</v>
      </c>
      <c r="L54" t="s">
        <v>27</v>
      </c>
      <c r="M54" t="s">
        <v>28</v>
      </c>
      <c r="N54" t="s">
        <v>29</v>
      </c>
      <c r="O54" t="s">
        <v>80</v>
      </c>
      <c r="P54">
        <v>14</v>
      </c>
      <c r="Q54" t="s">
        <v>67</v>
      </c>
      <c r="R54" t="s">
        <v>43</v>
      </c>
      <c r="S54">
        <v>4.4000000000000004</v>
      </c>
      <c r="T54">
        <v>5</v>
      </c>
      <c r="U54" t="s">
        <v>564</v>
      </c>
      <c r="V54" s="1">
        <v>43479</v>
      </c>
      <c r="W54">
        <v>3</v>
      </c>
      <c r="X54" t="s">
        <v>586</v>
      </c>
    </row>
    <row r="55" spans="1:24" x14ac:dyDescent="0.25">
      <c r="A55" t="s">
        <v>171</v>
      </c>
      <c r="B55">
        <v>10292</v>
      </c>
      <c r="C55" t="s">
        <v>22</v>
      </c>
      <c r="D55" s="1">
        <v>29079</v>
      </c>
      <c r="E55" t="s">
        <v>23</v>
      </c>
      <c r="F55" t="s">
        <v>24</v>
      </c>
      <c r="G55" t="s">
        <v>25</v>
      </c>
      <c r="H55" t="s">
        <v>70</v>
      </c>
      <c r="I55" s="1">
        <v>40735</v>
      </c>
      <c r="J55" t="s">
        <v>582</v>
      </c>
      <c r="K55" s="1">
        <v>42636</v>
      </c>
      <c r="L55" t="s">
        <v>102</v>
      </c>
      <c r="M55" t="s">
        <v>95</v>
      </c>
      <c r="N55" t="s">
        <v>29</v>
      </c>
      <c r="O55" t="s">
        <v>49</v>
      </c>
      <c r="P55">
        <v>20</v>
      </c>
      <c r="Q55" t="s">
        <v>31</v>
      </c>
      <c r="R55" t="s">
        <v>112</v>
      </c>
      <c r="S55">
        <v>2</v>
      </c>
      <c r="T55">
        <v>3</v>
      </c>
      <c r="U55" t="s">
        <v>566</v>
      </c>
      <c r="V55" s="1">
        <v>42491</v>
      </c>
      <c r="W55">
        <v>16</v>
      </c>
      <c r="X55" t="s">
        <v>585</v>
      </c>
    </row>
    <row r="56" spans="1:24" x14ac:dyDescent="0.25">
      <c r="A56" t="s">
        <v>172</v>
      </c>
      <c r="B56">
        <v>10282</v>
      </c>
      <c r="C56" t="s">
        <v>122</v>
      </c>
      <c r="D56" s="1">
        <v>27442</v>
      </c>
      <c r="E56" t="s">
        <v>23</v>
      </c>
      <c r="F56" t="s">
        <v>54</v>
      </c>
      <c r="G56" t="s">
        <v>25</v>
      </c>
      <c r="H56" t="s">
        <v>26</v>
      </c>
      <c r="I56" s="1">
        <v>40379</v>
      </c>
      <c r="J56" t="s">
        <v>582</v>
      </c>
      <c r="K56" s="1" t="s">
        <v>500</v>
      </c>
      <c r="L56" t="s">
        <v>27</v>
      </c>
      <c r="M56" t="s">
        <v>28</v>
      </c>
      <c r="N56" t="s">
        <v>29</v>
      </c>
      <c r="O56" t="s">
        <v>124</v>
      </c>
      <c r="P56">
        <v>2</v>
      </c>
      <c r="Q56" t="s">
        <v>111</v>
      </c>
      <c r="R56" t="s">
        <v>112</v>
      </c>
      <c r="S56">
        <v>4.13</v>
      </c>
      <c r="T56">
        <v>2</v>
      </c>
      <c r="U56" t="s">
        <v>568</v>
      </c>
      <c r="V56" s="1">
        <v>43479</v>
      </c>
      <c r="W56">
        <v>3</v>
      </c>
      <c r="X56" t="s">
        <v>586</v>
      </c>
    </row>
    <row r="57" spans="1:24" x14ac:dyDescent="0.25">
      <c r="A57" t="s">
        <v>173</v>
      </c>
      <c r="B57">
        <v>10019</v>
      </c>
      <c r="C57" t="s">
        <v>174</v>
      </c>
      <c r="D57" s="1">
        <v>30394</v>
      </c>
      <c r="E57" t="s">
        <v>23</v>
      </c>
      <c r="F57" t="s">
        <v>24</v>
      </c>
      <c r="G57" t="s">
        <v>25</v>
      </c>
      <c r="H57" t="s">
        <v>70</v>
      </c>
      <c r="I57" s="1">
        <v>39818</v>
      </c>
      <c r="J57" t="s">
        <v>581</v>
      </c>
      <c r="K57" s="1" t="s">
        <v>500</v>
      </c>
      <c r="L57" t="s">
        <v>27</v>
      </c>
      <c r="M57" t="s">
        <v>28</v>
      </c>
      <c r="N57" t="s">
        <v>29</v>
      </c>
      <c r="O57" t="s">
        <v>124</v>
      </c>
      <c r="P57">
        <v>2</v>
      </c>
      <c r="Q57" t="s">
        <v>42</v>
      </c>
      <c r="R57" t="s">
        <v>32</v>
      </c>
      <c r="S57">
        <v>3.7</v>
      </c>
      <c r="T57">
        <v>5</v>
      </c>
      <c r="U57" t="s">
        <v>564</v>
      </c>
      <c r="V57" s="1">
        <v>43500</v>
      </c>
      <c r="W57">
        <v>15</v>
      </c>
      <c r="X57" t="s">
        <v>586</v>
      </c>
    </row>
    <row r="58" spans="1:24" x14ac:dyDescent="0.25">
      <c r="A58" t="s">
        <v>175</v>
      </c>
      <c r="B58">
        <v>10094</v>
      </c>
      <c r="C58" t="s">
        <v>22</v>
      </c>
      <c r="D58" s="1">
        <v>28215</v>
      </c>
      <c r="E58" t="s">
        <v>47</v>
      </c>
      <c r="F58" t="s">
        <v>36</v>
      </c>
      <c r="G58" t="s">
        <v>25</v>
      </c>
      <c r="H58" t="s">
        <v>26</v>
      </c>
      <c r="I58" s="1">
        <v>42009</v>
      </c>
      <c r="J58" t="s">
        <v>584</v>
      </c>
      <c r="K58" s="1" t="s">
        <v>500</v>
      </c>
      <c r="L58" t="s">
        <v>27</v>
      </c>
      <c r="M58" t="s">
        <v>28</v>
      </c>
      <c r="N58" t="s">
        <v>29</v>
      </c>
      <c r="O58" t="s">
        <v>89</v>
      </c>
      <c r="P58">
        <v>18</v>
      </c>
      <c r="Q58" t="s">
        <v>42</v>
      </c>
      <c r="R58" t="s">
        <v>43</v>
      </c>
      <c r="S58">
        <v>4.7300000000000004</v>
      </c>
      <c r="T58">
        <v>5</v>
      </c>
      <c r="U58" t="s">
        <v>564</v>
      </c>
      <c r="V58" s="1">
        <v>43510</v>
      </c>
      <c r="W58">
        <v>6</v>
      </c>
      <c r="X58" t="s">
        <v>586</v>
      </c>
    </row>
    <row r="59" spans="1:24" x14ac:dyDescent="0.25">
      <c r="A59" t="s">
        <v>176</v>
      </c>
      <c r="B59">
        <v>10193</v>
      </c>
      <c r="C59" t="s">
        <v>85</v>
      </c>
      <c r="D59" s="1">
        <v>31650</v>
      </c>
      <c r="E59" t="s">
        <v>23</v>
      </c>
      <c r="F59" t="s">
        <v>36</v>
      </c>
      <c r="G59" t="s">
        <v>25</v>
      </c>
      <c r="H59" t="s">
        <v>26</v>
      </c>
      <c r="I59" s="1">
        <v>42093</v>
      </c>
      <c r="J59" t="s">
        <v>584</v>
      </c>
      <c r="K59" s="1" t="s">
        <v>500</v>
      </c>
      <c r="L59" t="s">
        <v>27</v>
      </c>
      <c r="M59" t="s">
        <v>28</v>
      </c>
      <c r="N59" t="s">
        <v>40</v>
      </c>
      <c r="O59" t="s">
        <v>41</v>
      </c>
      <c r="P59">
        <v>4</v>
      </c>
      <c r="Q59" t="s">
        <v>42</v>
      </c>
      <c r="R59" t="s">
        <v>43</v>
      </c>
      <c r="S59">
        <v>3.04</v>
      </c>
      <c r="T59">
        <v>3</v>
      </c>
      <c r="U59" t="s">
        <v>566</v>
      </c>
      <c r="V59" s="1">
        <v>43487</v>
      </c>
      <c r="W59">
        <v>2</v>
      </c>
      <c r="X59" t="s">
        <v>586</v>
      </c>
    </row>
    <row r="60" spans="1:24" x14ac:dyDescent="0.25">
      <c r="A60" t="s">
        <v>178</v>
      </c>
      <c r="B60">
        <v>10132</v>
      </c>
      <c r="C60" t="s">
        <v>22</v>
      </c>
      <c r="D60" s="1">
        <v>31877</v>
      </c>
      <c r="E60" t="s">
        <v>47</v>
      </c>
      <c r="F60" t="s">
        <v>24</v>
      </c>
      <c r="G60" t="s">
        <v>25</v>
      </c>
      <c r="H60" t="s">
        <v>26</v>
      </c>
      <c r="I60" s="1">
        <v>42557</v>
      </c>
      <c r="J60" t="s">
        <v>585</v>
      </c>
      <c r="K60" s="1" t="s">
        <v>500</v>
      </c>
      <c r="L60" t="s">
        <v>27</v>
      </c>
      <c r="M60" t="s">
        <v>28</v>
      </c>
      <c r="N60" t="s">
        <v>29</v>
      </c>
      <c r="O60" t="s">
        <v>30</v>
      </c>
      <c r="P60">
        <v>22</v>
      </c>
      <c r="Q60" t="s">
        <v>31</v>
      </c>
      <c r="R60" t="s">
        <v>43</v>
      </c>
      <c r="S60">
        <v>4.12</v>
      </c>
      <c r="T60">
        <v>5</v>
      </c>
      <c r="U60" t="s">
        <v>564</v>
      </c>
      <c r="V60" s="1">
        <v>43493</v>
      </c>
      <c r="W60">
        <v>15</v>
      </c>
      <c r="X60" t="s">
        <v>586</v>
      </c>
    </row>
    <row r="61" spans="1:24" x14ac:dyDescent="0.25">
      <c r="A61" t="s">
        <v>180</v>
      </c>
      <c r="B61">
        <v>10083</v>
      </c>
      <c r="C61" t="s">
        <v>181</v>
      </c>
      <c r="D61" s="1">
        <v>23994</v>
      </c>
      <c r="E61" t="s">
        <v>23</v>
      </c>
      <c r="F61" t="s">
        <v>24</v>
      </c>
      <c r="G61" t="s">
        <v>25</v>
      </c>
      <c r="H61" t="s">
        <v>26</v>
      </c>
      <c r="I61" s="1">
        <v>41649</v>
      </c>
      <c r="J61" t="s">
        <v>584</v>
      </c>
      <c r="K61" s="1" t="s">
        <v>500</v>
      </c>
      <c r="L61" t="s">
        <v>27</v>
      </c>
      <c r="M61" t="s">
        <v>28</v>
      </c>
      <c r="N61" t="s">
        <v>40</v>
      </c>
      <c r="O61" t="s">
        <v>76</v>
      </c>
      <c r="P61">
        <v>7</v>
      </c>
      <c r="Q61" t="s">
        <v>67</v>
      </c>
      <c r="R61" t="s">
        <v>43</v>
      </c>
      <c r="S61">
        <v>5</v>
      </c>
      <c r="T61">
        <v>3</v>
      </c>
      <c r="U61" t="s">
        <v>566</v>
      </c>
      <c r="V61" s="1">
        <v>43467</v>
      </c>
      <c r="W61">
        <v>5</v>
      </c>
      <c r="X61" t="s">
        <v>586</v>
      </c>
    </row>
    <row r="62" spans="1:24" x14ac:dyDescent="0.25">
      <c r="A62" t="s">
        <v>182</v>
      </c>
      <c r="B62">
        <v>10099</v>
      </c>
      <c r="C62" t="s">
        <v>183</v>
      </c>
      <c r="D62" s="1">
        <v>32982</v>
      </c>
      <c r="E62" t="s">
        <v>47</v>
      </c>
      <c r="F62" t="s">
        <v>24</v>
      </c>
      <c r="G62" t="s">
        <v>25</v>
      </c>
      <c r="H62" t="s">
        <v>26</v>
      </c>
      <c r="I62" s="1">
        <v>41764</v>
      </c>
      <c r="J62" t="s">
        <v>584</v>
      </c>
      <c r="K62" s="1" t="s">
        <v>500</v>
      </c>
      <c r="L62" t="s">
        <v>27</v>
      </c>
      <c r="M62" t="s">
        <v>28</v>
      </c>
      <c r="N62" t="s">
        <v>136</v>
      </c>
      <c r="O62" t="s">
        <v>184</v>
      </c>
      <c r="P62">
        <v>15</v>
      </c>
      <c r="Q62" t="s">
        <v>42</v>
      </c>
      <c r="R62" t="s">
        <v>43</v>
      </c>
      <c r="S62">
        <v>4.62</v>
      </c>
      <c r="T62">
        <v>4</v>
      </c>
      <c r="U62" t="s">
        <v>565</v>
      </c>
      <c r="V62" s="1">
        <v>43489</v>
      </c>
      <c r="W62">
        <v>8</v>
      </c>
      <c r="X62" t="s">
        <v>586</v>
      </c>
    </row>
    <row r="63" spans="1:24" x14ac:dyDescent="0.25">
      <c r="A63" t="s">
        <v>186</v>
      </c>
      <c r="B63">
        <v>10212</v>
      </c>
      <c r="C63" t="s">
        <v>181</v>
      </c>
      <c r="D63" s="1">
        <v>19011</v>
      </c>
      <c r="E63" t="s">
        <v>47</v>
      </c>
      <c r="F63" t="s">
        <v>36</v>
      </c>
      <c r="G63" t="s">
        <v>25</v>
      </c>
      <c r="H63" t="s">
        <v>26</v>
      </c>
      <c r="I63" s="1">
        <v>41649</v>
      </c>
      <c r="J63" t="s">
        <v>584</v>
      </c>
      <c r="K63" s="1" t="s">
        <v>500</v>
      </c>
      <c r="L63" t="s">
        <v>27</v>
      </c>
      <c r="M63" t="s">
        <v>28</v>
      </c>
      <c r="N63" t="s">
        <v>40</v>
      </c>
      <c r="O63" t="s">
        <v>76</v>
      </c>
      <c r="P63">
        <v>7</v>
      </c>
      <c r="Q63" t="s">
        <v>31</v>
      </c>
      <c r="R63" t="s">
        <v>43</v>
      </c>
      <c r="S63">
        <v>3.1</v>
      </c>
      <c r="T63">
        <v>5</v>
      </c>
      <c r="U63" t="s">
        <v>564</v>
      </c>
      <c r="V63" s="1">
        <v>43508</v>
      </c>
      <c r="W63">
        <v>19</v>
      </c>
      <c r="X63" t="s">
        <v>586</v>
      </c>
    </row>
    <row r="64" spans="1:24" x14ac:dyDescent="0.25">
      <c r="A64" t="s">
        <v>187</v>
      </c>
      <c r="B64">
        <v>10056</v>
      </c>
      <c r="C64" t="s">
        <v>22</v>
      </c>
      <c r="D64" s="1">
        <v>28495</v>
      </c>
      <c r="E64" t="s">
        <v>47</v>
      </c>
      <c r="F64" t="s">
        <v>36</v>
      </c>
      <c r="G64" t="s">
        <v>25</v>
      </c>
      <c r="H64" t="s">
        <v>26</v>
      </c>
      <c r="I64" s="1">
        <v>41092</v>
      </c>
      <c r="J64" t="s">
        <v>583</v>
      </c>
      <c r="K64" s="1" t="s">
        <v>500</v>
      </c>
      <c r="L64" t="s">
        <v>27</v>
      </c>
      <c r="M64" t="s">
        <v>28</v>
      </c>
      <c r="N64" t="s">
        <v>29</v>
      </c>
      <c r="O64" t="s">
        <v>52</v>
      </c>
      <c r="P64">
        <v>16</v>
      </c>
      <c r="Q64" t="s">
        <v>42</v>
      </c>
      <c r="R64" t="s">
        <v>43</v>
      </c>
      <c r="S64">
        <v>5</v>
      </c>
      <c r="T64">
        <v>3</v>
      </c>
      <c r="U64" t="s">
        <v>566</v>
      </c>
      <c r="V64" s="1">
        <v>43521</v>
      </c>
      <c r="W64">
        <v>1</v>
      </c>
      <c r="X64" t="s">
        <v>586</v>
      </c>
    </row>
    <row r="65" spans="1:24" x14ac:dyDescent="0.25">
      <c r="A65" t="s">
        <v>188</v>
      </c>
      <c r="B65">
        <v>10143</v>
      </c>
      <c r="C65" t="s">
        <v>46</v>
      </c>
      <c r="D65" s="1">
        <v>29112</v>
      </c>
      <c r="E65" t="s">
        <v>23</v>
      </c>
      <c r="F65" t="s">
        <v>24</v>
      </c>
      <c r="G65" t="s">
        <v>99</v>
      </c>
      <c r="H65" t="s">
        <v>87</v>
      </c>
      <c r="I65" s="1">
        <v>40550</v>
      </c>
      <c r="J65" t="s">
        <v>582</v>
      </c>
      <c r="K65" s="1" t="s">
        <v>500</v>
      </c>
      <c r="L65" t="s">
        <v>27</v>
      </c>
      <c r="M65" t="s">
        <v>28</v>
      </c>
      <c r="N65" t="s">
        <v>29</v>
      </c>
      <c r="O65" t="s">
        <v>49</v>
      </c>
      <c r="P65">
        <v>20</v>
      </c>
      <c r="Q65" t="s">
        <v>31</v>
      </c>
      <c r="R65" t="s">
        <v>43</v>
      </c>
      <c r="S65">
        <v>3.96</v>
      </c>
      <c r="T65">
        <v>4</v>
      </c>
      <c r="U65" t="s">
        <v>565</v>
      </c>
      <c r="V65" s="1">
        <v>43523</v>
      </c>
      <c r="W65">
        <v>6</v>
      </c>
      <c r="X65" t="s">
        <v>586</v>
      </c>
    </row>
    <row r="66" spans="1:24" x14ac:dyDescent="0.25">
      <c r="A66" t="s">
        <v>189</v>
      </c>
      <c r="B66">
        <v>10311</v>
      </c>
      <c r="C66" t="s">
        <v>22</v>
      </c>
      <c r="D66" s="1">
        <v>32248</v>
      </c>
      <c r="E66" t="s">
        <v>23</v>
      </c>
      <c r="F66" t="s">
        <v>36</v>
      </c>
      <c r="G66" t="s">
        <v>25</v>
      </c>
      <c r="H66" t="s">
        <v>26</v>
      </c>
      <c r="I66" s="1">
        <v>43290</v>
      </c>
      <c r="J66" t="s">
        <v>586</v>
      </c>
      <c r="K66" s="1" t="s">
        <v>500</v>
      </c>
      <c r="L66" t="s">
        <v>27</v>
      </c>
      <c r="M66" t="s">
        <v>28</v>
      </c>
      <c r="N66" t="s">
        <v>29</v>
      </c>
      <c r="O66" t="s">
        <v>71</v>
      </c>
      <c r="P66">
        <v>12</v>
      </c>
      <c r="Q66" t="s">
        <v>42</v>
      </c>
      <c r="R66" t="s">
        <v>43</v>
      </c>
      <c r="S66">
        <v>4.3</v>
      </c>
      <c r="T66">
        <v>4</v>
      </c>
      <c r="U66" t="s">
        <v>565</v>
      </c>
      <c r="V66" s="1">
        <v>43496</v>
      </c>
      <c r="W66">
        <v>2</v>
      </c>
      <c r="X66" t="s">
        <v>586</v>
      </c>
    </row>
    <row r="67" spans="1:24" x14ac:dyDescent="0.25">
      <c r="A67" t="s">
        <v>191</v>
      </c>
      <c r="B67">
        <v>10070</v>
      </c>
      <c r="C67" t="s">
        <v>22</v>
      </c>
      <c r="D67" s="1">
        <v>28429</v>
      </c>
      <c r="E67" t="s">
        <v>23</v>
      </c>
      <c r="F67" t="s">
        <v>36</v>
      </c>
      <c r="G67" t="s">
        <v>25</v>
      </c>
      <c r="H67" t="s">
        <v>26</v>
      </c>
      <c r="I67" s="1">
        <v>40679</v>
      </c>
      <c r="J67" t="s">
        <v>582</v>
      </c>
      <c r="K67" s="1">
        <v>42529</v>
      </c>
      <c r="L67" t="s">
        <v>83</v>
      </c>
      <c r="M67" t="s">
        <v>39</v>
      </c>
      <c r="N67" t="s">
        <v>29</v>
      </c>
      <c r="O67" t="s">
        <v>56</v>
      </c>
      <c r="P67">
        <v>39</v>
      </c>
      <c r="Q67" t="s">
        <v>42</v>
      </c>
      <c r="R67" t="s">
        <v>43</v>
      </c>
      <c r="S67">
        <v>5</v>
      </c>
      <c r="T67">
        <v>4</v>
      </c>
      <c r="U67" t="s">
        <v>565</v>
      </c>
      <c r="V67" s="1">
        <v>42462</v>
      </c>
      <c r="W67">
        <v>14</v>
      </c>
      <c r="X67" t="s">
        <v>585</v>
      </c>
    </row>
    <row r="68" spans="1:24" x14ac:dyDescent="0.25">
      <c r="A68" t="s">
        <v>192</v>
      </c>
      <c r="B68">
        <v>10155</v>
      </c>
      <c r="C68" t="s">
        <v>61</v>
      </c>
      <c r="D68" s="1">
        <v>29041</v>
      </c>
      <c r="E68" t="s">
        <v>47</v>
      </c>
      <c r="F68" t="s">
        <v>24</v>
      </c>
      <c r="G68" t="s">
        <v>25</v>
      </c>
      <c r="H68" t="s">
        <v>70</v>
      </c>
      <c r="I68" s="1">
        <v>40917</v>
      </c>
      <c r="J68" t="s">
        <v>583</v>
      </c>
      <c r="K68" s="1" t="s">
        <v>500</v>
      </c>
      <c r="L68" t="s">
        <v>27</v>
      </c>
      <c r="M68" t="s">
        <v>28</v>
      </c>
      <c r="N68" t="s">
        <v>62</v>
      </c>
      <c r="O68" t="s">
        <v>63</v>
      </c>
      <c r="P68">
        <v>10</v>
      </c>
      <c r="Q68" t="s">
        <v>111</v>
      </c>
      <c r="R68" t="s">
        <v>43</v>
      </c>
      <c r="S68">
        <v>3.79</v>
      </c>
      <c r="T68">
        <v>5</v>
      </c>
      <c r="U68" t="s">
        <v>564</v>
      </c>
      <c r="V68" s="1">
        <v>43490</v>
      </c>
      <c r="W68">
        <v>8</v>
      </c>
      <c r="X68" t="s">
        <v>586</v>
      </c>
    </row>
    <row r="69" spans="1:24" x14ac:dyDescent="0.25">
      <c r="A69" t="s">
        <v>193</v>
      </c>
      <c r="B69">
        <v>10306</v>
      </c>
      <c r="C69" t="s">
        <v>135</v>
      </c>
      <c r="D69" s="1">
        <v>27396</v>
      </c>
      <c r="E69" t="s">
        <v>23</v>
      </c>
      <c r="F69" t="s">
        <v>24</v>
      </c>
      <c r="G69" t="s">
        <v>25</v>
      </c>
      <c r="H69" t="s">
        <v>87</v>
      </c>
      <c r="I69" s="1">
        <v>41911</v>
      </c>
      <c r="J69" t="s">
        <v>584</v>
      </c>
      <c r="K69" s="1" t="s">
        <v>500</v>
      </c>
      <c r="L69" t="s">
        <v>27</v>
      </c>
      <c r="M69" t="s">
        <v>28</v>
      </c>
      <c r="N69" t="s">
        <v>136</v>
      </c>
      <c r="O69" t="s">
        <v>137</v>
      </c>
      <c r="P69">
        <v>17</v>
      </c>
      <c r="Q69" t="s">
        <v>42</v>
      </c>
      <c r="R69" t="s">
        <v>194</v>
      </c>
      <c r="S69">
        <v>1.93</v>
      </c>
      <c r="T69">
        <v>3</v>
      </c>
      <c r="U69" t="s">
        <v>566</v>
      </c>
      <c r="V69" s="1">
        <v>43495</v>
      </c>
      <c r="W69">
        <v>5</v>
      </c>
      <c r="X69" t="s">
        <v>586</v>
      </c>
    </row>
    <row r="70" spans="1:24" x14ac:dyDescent="0.25">
      <c r="A70" t="s">
        <v>195</v>
      </c>
      <c r="B70">
        <v>10100</v>
      </c>
      <c r="C70" t="s">
        <v>46</v>
      </c>
      <c r="D70" s="1">
        <v>18684</v>
      </c>
      <c r="E70" t="s">
        <v>47</v>
      </c>
      <c r="F70" t="s">
        <v>132</v>
      </c>
      <c r="G70" t="s">
        <v>25</v>
      </c>
      <c r="H70" t="s">
        <v>70</v>
      </c>
      <c r="I70" s="1">
        <v>40637</v>
      </c>
      <c r="J70" t="s">
        <v>582</v>
      </c>
      <c r="K70" s="1">
        <v>42312</v>
      </c>
      <c r="L70" t="s">
        <v>196</v>
      </c>
      <c r="M70" t="s">
        <v>39</v>
      </c>
      <c r="N70" t="s">
        <v>29</v>
      </c>
      <c r="O70" t="s">
        <v>89</v>
      </c>
      <c r="P70">
        <v>18</v>
      </c>
      <c r="Q70" t="s">
        <v>57</v>
      </c>
      <c r="R70" t="s">
        <v>43</v>
      </c>
      <c r="S70">
        <v>4.62</v>
      </c>
      <c r="T70">
        <v>5</v>
      </c>
      <c r="U70" t="s">
        <v>564</v>
      </c>
      <c r="V70" s="1">
        <v>42130</v>
      </c>
      <c r="W70">
        <v>1</v>
      </c>
      <c r="X70" t="s">
        <v>584</v>
      </c>
    </row>
    <row r="71" spans="1:24" x14ac:dyDescent="0.25">
      <c r="A71" t="s">
        <v>197</v>
      </c>
      <c r="B71">
        <v>10310</v>
      </c>
      <c r="C71" t="s">
        <v>22</v>
      </c>
      <c r="D71" s="1">
        <v>24581</v>
      </c>
      <c r="E71" t="s">
        <v>23</v>
      </c>
      <c r="F71" t="s">
        <v>36</v>
      </c>
      <c r="G71" t="s">
        <v>25</v>
      </c>
      <c r="H71" t="s">
        <v>26</v>
      </c>
      <c r="I71" s="1">
        <v>41827</v>
      </c>
      <c r="J71" t="s">
        <v>584</v>
      </c>
      <c r="K71" s="1" t="s">
        <v>500</v>
      </c>
      <c r="L71" t="s">
        <v>27</v>
      </c>
      <c r="M71" t="s">
        <v>28</v>
      </c>
      <c r="N71" t="s">
        <v>29</v>
      </c>
      <c r="O71" t="s">
        <v>59</v>
      </c>
      <c r="P71">
        <v>11</v>
      </c>
      <c r="Q71" t="s">
        <v>42</v>
      </c>
      <c r="R71" t="s">
        <v>194</v>
      </c>
      <c r="S71">
        <v>1.1200000000000001</v>
      </c>
      <c r="T71">
        <v>2</v>
      </c>
      <c r="U71" t="s">
        <v>568</v>
      </c>
      <c r="V71" s="1">
        <v>43496</v>
      </c>
      <c r="W71">
        <v>9</v>
      </c>
      <c r="X71" t="s">
        <v>586</v>
      </c>
    </row>
    <row r="72" spans="1:24" x14ac:dyDescent="0.25">
      <c r="A72" t="s">
        <v>198</v>
      </c>
      <c r="B72">
        <v>10197</v>
      </c>
      <c r="C72" t="s">
        <v>199</v>
      </c>
      <c r="D72" s="1">
        <v>30563</v>
      </c>
      <c r="E72" t="s">
        <v>23</v>
      </c>
      <c r="F72" t="s">
        <v>24</v>
      </c>
      <c r="G72" t="s">
        <v>25</v>
      </c>
      <c r="H72" t="s">
        <v>26</v>
      </c>
      <c r="I72" s="1">
        <v>42781</v>
      </c>
      <c r="J72" t="s">
        <v>585</v>
      </c>
      <c r="K72" s="1" t="s">
        <v>500</v>
      </c>
      <c r="L72" t="s">
        <v>27</v>
      </c>
      <c r="M72" t="s">
        <v>28</v>
      </c>
      <c r="N72" t="s">
        <v>40</v>
      </c>
      <c r="O72" t="s">
        <v>201</v>
      </c>
      <c r="P72">
        <v>13</v>
      </c>
      <c r="Q72" t="s">
        <v>42</v>
      </c>
      <c r="R72" t="s">
        <v>43</v>
      </c>
      <c r="S72">
        <v>3.01</v>
      </c>
      <c r="T72">
        <v>5</v>
      </c>
      <c r="U72" t="s">
        <v>564</v>
      </c>
      <c r="V72" s="1">
        <v>43488</v>
      </c>
      <c r="W72">
        <v>15</v>
      </c>
      <c r="X72" t="s">
        <v>586</v>
      </c>
    </row>
    <row r="73" spans="1:24" x14ac:dyDescent="0.25">
      <c r="A73" t="s">
        <v>203</v>
      </c>
      <c r="B73">
        <v>10276</v>
      </c>
      <c r="C73" t="s">
        <v>22</v>
      </c>
      <c r="D73" s="1">
        <v>29966</v>
      </c>
      <c r="E73" t="s">
        <v>23</v>
      </c>
      <c r="F73" t="s">
        <v>24</v>
      </c>
      <c r="G73" t="s">
        <v>25</v>
      </c>
      <c r="H73" t="s">
        <v>26</v>
      </c>
      <c r="I73" s="1">
        <v>41771</v>
      </c>
      <c r="J73" t="s">
        <v>584</v>
      </c>
      <c r="K73" s="1" t="s">
        <v>500</v>
      </c>
      <c r="L73" t="s">
        <v>27</v>
      </c>
      <c r="M73" t="s">
        <v>28</v>
      </c>
      <c r="N73" t="s">
        <v>29</v>
      </c>
      <c r="O73" t="s">
        <v>66</v>
      </c>
      <c r="P73">
        <v>19</v>
      </c>
      <c r="Q73" t="s">
        <v>42</v>
      </c>
      <c r="R73" t="s">
        <v>43</v>
      </c>
      <c r="S73">
        <v>4.3</v>
      </c>
      <c r="T73">
        <v>4</v>
      </c>
      <c r="U73" t="s">
        <v>565</v>
      </c>
      <c r="V73" s="1">
        <v>43515</v>
      </c>
      <c r="W73">
        <v>1</v>
      </c>
      <c r="X73" t="s">
        <v>586</v>
      </c>
    </row>
    <row r="74" spans="1:24" x14ac:dyDescent="0.25">
      <c r="A74" t="s">
        <v>204</v>
      </c>
      <c r="B74">
        <v>10304</v>
      </c>
      <c r="C74" t="s">
        <v>135</v>
      </c>
      <c r="D74" s="1">
        <v>31911</v>
      </c>
      <c r="E74" t="s">
        <v>47</v>
      </c>
      <c r="F74" t="s">
        <v>24</v>
      </c>
      <c r="G74" t="s">
        <v>25</v>
      </c>
      <c r="H74" t="s">
        <v>26</v>
      </c>
      <c r="I74" s="1">
        <v>40959</v>
      </c>
      <c r="J74" t="s">
        <v>583</v>
      </c>
      <c r="K74" s="1" t="s">
        <v>500</v>
      </c>
      <c r="L74" t="s">
        <v>27</v>
      </c>
      <c r="M74" t="s">
        <v>28</v>
      </c>
      <c r="N74" t="s">
        <v>136</v>
      </c>
      <c r="O74" t="s">
        <v>137</v>
      </c>
      <c r="P74">
        <v>17</v>
      </c>
      <c r="Q74" t="s">
        <v>205</v>
      </c>
      <c r="R74" t="s">
        <v>194</v>
      </c>
      <c r="S74">
        <v>2.2999999999999998</v>
      </c>
      <c r="T74">
        <v>1</v>
      </c>
      <c r="U74" t="s">
        <v>569</v>
      </c>
      <c r="V74" s="1">
        <v>43494</v>
      </c>
      <c r="W74">
        <v>17</v>
      </c>
      <c r="X74" t="s">
        <v>586</v>
      </c>
    </row>
    <row r="75" spans="1:24" x14ac:dyDescent="0.25">
      <c r="A75" t="s">
        <v>207</v>
      </c>
      <c r="B75">
        <v>10284</v>
      </c>
      <c r="C75" t="s">
        <v>22</v>
      </c>
      <c r="D75" s="1">
        <v>28523</v>
      </c>
      <c r="E75" t="s">
        <v>47</v>
      </c>
      <c r="F75" t="s">
        <v>36</v>
      </c>
      <c r="G75" t="s">
        <v>25</v>
      </c>
      <c r="H75" t="s">
        <v>70</v>
      </c>
      <c r="I75" s="1">
        <v>41281</v>
      </c>
      <c r="J75" t="s">
        <v>583</v>
      </c>
      <c r="K75" s="1" t="s">
        <v>500</v>
      </c>
      <c r="L75" t="s">
        <v>27</v>
      </c>
      <c r="M75" t="s">
        <v>28</v>
      </c>
      <c r="N75" t="s">
        <v>29</v>
      </c>
      <c r="O75" t="s">
        <v>71</v>
      </c>
      <c r="P75">
        <v>12</v>
      </c>
      <c r="Q75" t="s">
        <v>42</v>
      </c>
      <c r="R75" t="s">
        <v>112</v>
      </c>
      <c r="S75">
        <v>3.88</v>
      </c>
      <c r="T75">
        <v>4</v>
      </c>
      <c r="U75" t="s">
        <v>565</v>
      </c>
      <c r="V75" s="1">
        <v>43483</v>
      </c>
      <c r="W75">
        <v>6</v>
      </c>
      <c r="X75" t="s">
        <v>586</v>
      </c>
    </row>
    <row r="76" spans="1:24" x14ac:dyDescent="0.25">
      <c r="A76" t="s">
        <v>209</v>
      </c>
      <c r="B76">
        <v>10207</v>
      </c>
      <c r="C76" t="s">
        <v>22</v>
      </c>
      <c r="D76" s="1">
        <v>31692</v>
      </c>
      <c r="E76" t="s">
        <v>47</v>
      </c>
      <c r="F76" t="s">
        <v>24</v>
      </c>
      <c r="G76" t="s">
        <v>25</v>
      </c>
      <c r="H76" t="s">
        <v>26</v>
      </c>
      <c r="I76" s="1">
        <v>41001</v>
      </c>
      <c r="J76" t="s">
        <v>583</v>
      </c>
      <c r="K76" s="1" t="s">
        <v>500</v>
      </c>
      <c r="L76" t="s">
        <v>27</v>
      </c>
      <c r="M76" t="s">
        <v>28</v>
      </c>
      <c r="N76" t="s">
        <v>29</v>
      </c>
      <c r="O76" t="s">
        <v>80</v>
      </c>
      <c r="P76">
        <v>14</v>
      </c>
      <c r="Q76" t="s">
        <v>111</v>
      </c>
      <c r="R76" t="s">
        <v>43</v>
      </c>
      <c r="S76">
        <v>3.4</v>
      </c>
      <c r="T76">
        <v>5</v>
      </c>
      <c r="U76" t="s">
        <v>564</v>
      </c>
      <c r="V76" s="1">
        <v>43515</v>
      </c>
      <c r="W76">
        <v>15</v>
      </c>
      <c r="X76" t="s">
        <v>586</v>
      </c>
    </row>
    <row r="77" spans="1:24" x14ac:dyDescent="0.25">
      <c r="A77" t="s">
        <v>210</v>
      </c>
      <c r="B77">
        <v>10133</v>
      </c>
      <c r="C77" t="s">
        <v>75</v>
      </c>
      <c r="D77" s="1">
        <v>32342</v>
      </c>
      <c r="E77" t="s">
        <v>47</v>
      </c>
      <c r="F77" t="s">
        <v>36</v>
      </c>
      <c r="G77" t="s">
        <v>25</v>
      </c>
      <c r="H77" t="s">
        <v>26</v>
      </c>
      <c r="I77" s="1">
        <v>42009</v>
      </c>
      <c r="J77" t="s">
        <v>584</v>
      </c>
      <c r="K77" s="1" t="s">
        <v>500</v>
      </c>
      <c r="L77" t="s">
        <v>27</v>
      </c>
      <c r="M77" t="s">
        <v>28</v>
      </c>
      <c r="N77" t="s">
        <v>40</v>
      </c>
      <c r="O77" t="s">
        <v>76</v>
      </c>
      <c r="P77">
        <v>7</v>
      </c>
      <c r="Q77" t="s">
        <v>67</v>
      </c>
      <c r="R77" t="s">
        <v>43</v>
      </c>
      <c r="S77">
        <v>4.1100000000000003</v>
      </c>
      <c r="T77">
        <v>4</v>
      </c>
      <c r="U77" t="s">
        <v>565</v>
      </c>
      <c r="V77" s="1">
        <v>43521</v>
      </c>
      <c r="W77">
        <v>16</v>
      </c>
      <c r="X77" t="s">
        <v>586</v>
      </c>
    </row>
    <row r="78" spans="1:24" x14ac:dyDescent="0.25">
      <c r="A78" t="s">
        <v>211</v>
      </c>
      <c r="B78">
        <v>10028</v>
      </c>
      <c r="C78" t="s">
        <v>212</v>
      </c>
      <c r="D78" s="1">
        <v>25758</v>
      </c>
      <c r="E78" t="s">
        <v>23</v>
      </c>
      <c r="F78" t="s">
        <v>24</v>
      </c>
      <c r="G78" t="s">
        <v>25</v>
      </c>
      <c r="H78" t="s">
        <v>70</v>
      </c>
      <c r="I78" s="1">
        <v>41644</v>
      </c>
      <c r="J78" t="s">
        <v>584</v>
      </c>
      <c r="K78" s="1" t="s">
        <v>500</v>
      </c>
      <c r="L78" t="s">
        <v>27</v>
      </c>
      <c r="M78" t="s">
        <v>28</v>
      </c>
      <c r="N78" t="s">
        <v>40</v>
      </c>
      <c r="O78" t="s">
        <v>143</v>
      </c>
      <c r="P78">
        <v>5</v>
      </c>
      <c r="Q78" t="s">
        <v>42</v>
      </c>
      <c r="R78" t="s">
        <v>32</v>
      </c>
      <c r="S78">
        <v>4.3</v>
      </c>
      <c r="T78">
        <v>5</v>
      </c>
      <c r="U78" t="s">
        <v>564</v>
      </c>
      <c r="V78" s="1">
        <v>43469</v>
      </c>
      <c r="W78">
        <v>4</v>
      </c>
      <c r="X78" t="s">
        <v>586</v>
      </c>
    </row>
    <row r="79" spans="1:24" x14ac:dyDescent="0.25">
      <c r="A79" t="s">
        <v>213</v>
      </c>
      <c r="B79">
        <v>10006</v>
      </c>
      <c r="C79" t="s">
        <v>135</v>
      </c>
      <c r="D79" s="1">
        <v>32150</v>
      </c>
      <c r="E79" t="s">
        <v>47</v>
      </c>
      <c r="F79" t="s">
        <v>24</v>
      </c>
      <c r="G79" t="s">
        <v>25</v>
      </c>
      <c r="H79" t="s">
        <v>26</v>
      </c>
      <c r="I79" s="1">
        <v>40553</v>
      </c>
      <c r="J79" t="s">
        <v>582</v>
      </c>
      <c r="K79" s="1" t="s">
        <v>500</v>
      </c>
      <c r="L79" t="s">
        <v>27</v>
      </c>
      <c r="M79" t="s">
        <v>28</v>
      </c>
      <c r="N79" t="s">
        <v>136</v>
      </c>
      <c r="O79" t="s">
        <v>158</v>
      </c>
      <c r="P79">
        <v>21</v>
      </c>
      <c r="Q79" t="s">
        <v>42</v>
      </c>
      <c r="R79" t="s">
        <v>32</v>
      </c>
      <c r="S79">
        <v>4.7699999999999996</v>
      </c>
      <c r="T79">
        <v>5</v>
      </c>
      <c r="U79" t="s">
        <v>564</v>
      </c>
      <c r="V79" s="1">
        <v>43492</v>
      </c>
      <c r="W79">
        <v>14</v>
      </c>
      <c r="X79" t="s">
        <v>586</v>
      </c>
    </row>
    <row r="80" spans="1:24" x14ac:dyDescent="0.25">
      <c r="A80" t="s">
        <v>215</v>
      </c>
      <c r="B80">
        <v>10105</v>
      </c>
      <c r="C80" t="s">
        <v>122</v>
      </c>
      <c r="D80" s="1">
        <v>26692</v>
      </c>
      <c r="E80" t="s">
        <v>47</v>
      </c>
      <c r="F80" t="s">
        <v>24</v>
      </c>
      <c r="G80" t="s">
        <v>25</v>
      </c>
      <c r="H80" t="s">
        <v>26</v>
      </c>
      <c r="I80" s="1">
        <v>41900</v>
      </c>
      <c r="J80" t="s">
        <v>584</v>
      </c>
      <c r="K80" s="1" t="s">
        <v>500</v>
      </c>
      <c r="L80" t="s">
        <v>27</v>
      </c>
      <c r="M80" t="s">
        <v>28</v>
      </c>
      <c r="N80" t="s">
        <v>29</v>
      </c>
      <c r="O80" t="s">
        <v>124</v>
      </c>
      <c r="P80">
        <v>2</v>
      </c>
      <c r="Q80" t="s">
        <v>57</v>
      </c>
      <c r="R80" t="s">
        <v>43</v>
      </c>
      <c r="S80">
        <v>4.5199999999999996</v>
      </c>
      <c r="T80">
        <v>4</v>
      </c>
      <c r="U80" t="s">
        <v>565</v>
      </c>
      <c r="V80" s="1">
        <v>43480</v>
      </c>
      <c r="W80">
        <v>4</v>
      </c>
      <c r="X80" t="s">
        <v>586</v>
      </c>
    </row>
    <row r="81" spans="1:24" x14ac:dyDescent="0.25">
      <c r="A81" t="s">
        <v>216</v>
      </c>
      <c r="B81">
        <v>10211</v>
      </c>
      <c r="C81" t="s">
        <v>22</v>
      </c>
      <c r="D81" s="1">
        <v>26930</v>
      </c>
      <c r="E81" t="s">
        <v>47</v>
      </c>
      <c r="F81" t="s">
        <v>36</v>
      </c>
      <c r="G81" t="s">
        <v>25</v>
      </c>
      <c r="H81" t="s">
        <v>26</v>
      </c>
      <c r="I81" s="1">
        <v>40294</v>
      </c>
      <c r="J81" t="s">
        <v>582</v>
      </c>
      <c r="K81" s="1" t="s">
        <v>500</v>
      </c>
      <c r="L81" t="s">
        <v>27</v>
      </c>
      <c r="M81" t="s">
        <v>28</v>
      </c>
      <c r="N81" t="s">
        <v>29</v>
      </c>
      <c r="O81" t="s">
        <v>66</v>
      </c>
      <c r="P81">
        <v>19</v>
      </c>
      <c r="Q81" t="s">
        <v>57</v>
      </c>
      <c r="R81" t="s">
        <v>43</v>
      </c>
      <c r="S81">
        <v>2.9</v>
      </c>
      <c r="T81">
        <v>3</v>
      </c>
      <c r="U81" t="s">
        <v>566</v>
      </c>
      <c r="V81" s="1">
        <v>43486</v>
      </c>
      <c r="W81">
        <v>6</v>
      </c>
      <c r="X81" t="s">
        <v>586</v>
      </c>
    </row>
    <row r="82" spans="1:24" x14ac:dyDescent="0.25">
      <c r="A82" t="s">
        <v>217</v>
      </c>
      <c r="B82">
        <v>10064</v>
      </c>
      <c r="C82" t="s">
        <v>22</v>
      </c>
      <c r="D82" s="1">
        <v>33486</v>
      </c>
      <c r="E82" t="s">
        <v>47</v>
      </c>
      <c r="F82" t="s">
        <v>36</v>
      </c>
      <c r="G82" t="s">
        <v>25</v>
      </c>
      <c r="H82" t="s">
        <v>26</v>
      </c>
      <c r="I82" s="1">
        <v>40637</v>
      </c>
      <c r="J82" t="s">
        <v>582</v>
      </c>
      <c r="K82" s="1">
        <v>42892</v>
      </c>
      <c r="L82" t="s">
        <v>218</v>
      </c>
      <c r="M82" t="s">
        <v>39</v>
      </c>
      <c r="N82" t="s">
        <v>29</v>
      </c>
      <c r="O82" t="s">
        <v>49</v>
      </c>
      <c r="P82">
        <v>20</v>
      </c>
      <c r="Q82" t="s">
        <v>57</v>
      </c>
      <c r="R82" t="s">
        <v>43</v>
      </c>
      <c r="S82">
        <v>5</v>
      </c>
      <c r="T82">
        <v>3</v>
      </c>
      <c r="U82" t="s">
        <v>566</v>
      </c>
      <c r="V82" s="1">
        <v>42834</v>
      </c>
      <c r="W82">
        <v>7</v>
      </c>
      <c r="X82" t="s">
        <v>585</v>
      </c>
    </row>
    <row r="83" spans="1:24" x14ac:dyDescent="0.25">
      <c r="A83" t="s">
        <v>219</v>
      </c>
      <c r="B83">
        <v>10247</v>
      </c>
      <c r="C83" t="s">
        <v>22</v>
      </c>
      <c r="D83" s="1">
        <v>27180</v>
      </c>
      <c r="E83" t="s">
        <v>23</v>
      </c>
      <c r="F83" t="s">
        <v>24</v>
      </c>
      <c r="G83" t="s">
        <v>25</v>
      </c>
      <c r="H83" t="s">
        <v>26</v>
      </c>
      <c r="I83" s="1">
        <v>41649</v>
      </c>
      <c r="J83" t="s">
        <v>584</v>
      </c>
      <c r="K83" s="1" t="s">
        <v>500</v>
      </c>
      <c r="L83" t="s">
        <v>27</v>
      </c>
      <c r="M83" t="s">
        <v>28</v>
      </c>
      <c r="N83" t="s">
        <v>29</v>
      </c>
      <c r="O83" t="s">
        <v>89</v>
      </c>
      <c r="P83">
        <v>18</v>
      </c>
      <c r="Q83" t="s">
        <v>31</v>
      </c>
      <c r="R83" t="s">
        <v>43</v>
      </c>
      <c r="S83">
        <v>4.7</v>
      </c>
      <c r="T83">
        <v>5</v>
      </c>
      <c r="U83" t="s">
        <v>564</v>
      </c>
      <c r="V83" s="1">
        <v>43509</v>
      </c>
      <c r="W83">
        <v>8</v>
      </c>
      <c r="X83" t="s">
        <v>586</v>
      </c>
    </row>
    <row r="84" spans="1:24" x14ac:dyDescent="0.25">
      <c r="A84" t="s">
        <v>221</v>
      </c>
      <c r="B84">
        <v>10235</v>
      </c>
      <c r="C84" t="s">
        <v>22</v>
      </c>
      <c r="D84" s="1">
        <v>28727</v>
      </c>
      <c r="E84" t="s">
        <v>23</v>
      </c>
      <c r="F84" t="s">
        <v>36</v>
      </c>
      <c r="G84" t="s">
        <v>25</v>
      </c>
      <c r="H84" t="s">
        <v>26</v>
      </c>
      <c r="I84" s="1">
        <v>41729</v>
      </c>
      <c r="J84" t="s">
        <v>584</v>
      </c>
      <c r="K84" s="1" t="s">
        <v>500</v>
      </c>
      <c r="L84" t="s">
        <v>27</v>
      </c>
      <c r="M84" t="s">
        <v>28</v>
      </c>
      <c r="N84" t="s">
        <v>29</v>
      </c>
      <c r="O84" t="s">
        <v>89</v>
      </c>
      <c r="P84">
        <v>18</v>
      </c>
      <c r="Q84" t="s">
        <v>67</v>
      </c>
      <c r="R84" t="s">
        <v>43</v>
      </c>
      <c r="S84">
        <v>4.2</v>
      </c>
      <c r="T84">
        <v>3</v>
      </c>
      <c r="U84" t="s">
        <v>566</v>
      </c>
      <c r="V84" s="1">
        <v>43476</v>
      </c>
      <c r="W84">
        <v>3</v>
      </c>
      <c r="X84" t="s">
        <v>586</v>
      </c>
    </row>
    <row r="85" spans="1:24" x14ac:dyDescent="0.25">
      <c r="A85" t="s">
        <v>222</v>
      </c>
      <c r="B85">
        <v>10299</v>
      </c>
      <c r="C85" t="s">
        <v>46</v>
      </c>
      <c r="D85" s="1">
        <v>32745</v>
      </c>
      <c r="E85" t="s">
        <v>47</v>
      </c>
      <c r="F85" t="s">
        <v>132</v>
      </c>
      <c r="G85" t="s">
        <v>25</v>
      </c>
      <c r="H85" t="s">
        <v>26</v>
      </c>
      <c r="I85" s="1">
        <v>41827</v>
      </c>
      <c r="J85" t="s">
        <v>584</v>
      </c>
      <c r="K85" s="1" t="s">
        <v>500</v>
      </c>
      <c r="L85" t="s">
        <v>27</v>
      </c>
      <c r="M85" t="s">
        <v>28</v>
      </c>
      <c r="N85" t="s">
        <v>29</v>
      </c>
      <c r="O85" t="s">
        <v>30</v>
      </c>
      <c r="P85">
        <v>22</v>
      </c>
      <c r="Q85" t="s">
        <v>42</v>
      </c>
      <c r="R85" t="s">
        <v>194</v>
      </c>
      <c r="S85">
        <v>3</v>
      </c>
      <c r="T85">
        <v>1</v>
      </c>
      <c r="U85" t="s">
        <v>569</v>
      </c>
      <c r="V85" s="1">
        <v>43521</v>
      </c>
      <c r="W85">
        <v>5</v>
      </c>
      <c r="X85" t="s">
        <v>586</v>
      </c>
    </row>
    <row r="86" spans="1:24" x14ac:dyDescent="0.25">
      <c r="A86" t="s">
        <v>223</v>
      </c>
      <c r="B86">
        <v>10280</v>
      </c>
      <c r="C86" t="s">
        <v>22</v>
      </c>
      <c r="D86" s="1">
        <v>30561</v>
      </c>
      <c r="E86" t="s">
        <v>23</v>
      </c>
      <c r="F86" t="s">
        <v>24</v>
      </c>
      <c r="G86" t="s">
        <v>25</v>
      </c>
      <c r="H86" t="s">
        <v>26</v>
      </c>
      <c r="I86" s="1">
        <v>41001</v>
      </c>
      <c r="J86" t="s">
        <v>583</v>
      </c>
      <c r="K86" s="1">
        <v>43370</v>
      </c>
      <c r="L86" t="s">
        <v>94</v>
      </c>
      <c r="M86" t="s">
        <v>95</v>
      </c>
      <c r="N86" t="s">
        <v>29</v>
      </c>
      <c r="O86" t="s">
        <v>30</v>
      </c>
      <c r="P86">
        <v>22</v>
      </c>
      <c r="Q86" t="s">
        <v>57</v>
      </c>
      <c r="R86" t="s">
        <v>112</v>
      </c>
      <c r="S86">
        <v>5</v>
      </c>
      <c r="T86">
        <v>4</v>
      </c>
      <c r="U86" t="s">
        <v>565</v>
      </c>
      <c r="V86" s="1">
        <v>43202</v>
      </c>
      <c r="W86">
        <v>16</v>
      </c>
      <c r="X86" t="s">
        <v>586</v>
      </c>
    </row>
    <row r="87" spans="1:24" x14ac:dyDescent="0.25">
      <c r="A87" t="s">
        <v>224</v>
      </c>
      <c r="B87">
        <v>10296</v>
      </c>
      <c r="C87" t="s">
        <v>22</v>
      </c>
      <c r="D87" s="1">
        <v>32634</v>
      </c>
      <c r="E87" t="s">
        <v>47</v>
      </c>
      <c r="F87" t="s">
        <v>24</v>
      </c>
      <c r="G87" t="s">
        <v>25</v>
      </c>
      <c r="H87" t="s">
        <v>26</v>
      </c>
      <c r="I87" s="1">
        <v>41687</v>
      </c>
      <c r="J87" t="s">
        <v>584</v>
      </c>
      <c r="K87" s="1">
        <v>43156</v>
      </c>
      <c r="L87" t="s">
        <v>225</v>
      </c>
      <c r="M87" t="s">
        <v>95</v>
      </c>
      <c r="N87" t="s">
        <v>29</v>
      </c>
      <c r="O87" t="s">
        <v>52</v>
      </c>
      <c r="P87">
        <v>16</v>
      </c>
      <c r="Q87" t="s">
        <v>57</v>
      </c>
      <c r="R87" t="s">
        <v>112</v>
      </c>
      <c r="S87">
        <v>2.2999999999999998</v>
      </c>
      <c r="T87">
        <v>3</v>
      </c>
      <c r="U87" t="s">
        <v>566</v>
      </c>
      <c r="V87" s="1">
        <v>42750</v>
      </c>
      <c r="W87">
        <v>19</v>
      </c>
      <c r="X87" t="s">
        <v>585</v>
      </c>
    </row>
    <row r="88" spans="1:24" x14ac:dyDescent="0.25">
      <c r="A88" t="s">
        <v>227</v>
      </c>
      <c r="B88">
        <v>10290</v>
      </c>
      <c r="C88" t="s">
        <v>61</v>
      </c>
      <c r="D88" s="1">
        <v>31912</v>
      </c>
      <c r="E88" t="s">
        <v>47</v>
      </c>
      <c r="F88" t="s">
        <v>36</v>
      </c>
      <c r="G88" t="s">
        <v>25</v>
      </c>
      <c r="H88" t="s">
        <v>70</v>
      </c>
      <c r="I88" s="1">
        <v>40665</v>
      </c>
      <c r="J88" t="s">
        <v>582</v>
      </c>
      <c r="K88" s="1">
        <v>41430</v>
      </c>
      <c r="L88" t="s">
        <v>94</v>
      </c>
      <c r="M88" t="s">
        <v>95</v>
      </c>
      <c r="N88" t="s">
        <v>62</v>
      </c>
      <c r="O88" t="s">
        <v>63</v>
      </c>
      <c r="P88">
        <v>10</v>
      </c>
      <c r="Q88" t="s">
        <v>42</v>
      </c>
      <c r="R88" t="s">
        <v>112</v>
      </c>
      <c r="S88">
        <v>2.1</v>
      </c>
      <c r="T88">
        <v>5</v>
      </c>
      <c r="U88" t="s">
        <v>564</v>
      </c>
      <c r="V88" s="1">
        <v>41131</v>
      </c>
      <c r="W88">
        <v>19</v>
      </c>
      <c r="X88" t="s">
        <v>583</v>
      </c>
    </row>
    <row r="89" spans="1:24" x14ac:dyDescent="0.25">
      <c r="A89" t="s">
        <v>228</v>
      </c>
      <c r="B89">
        <v>10263</v>
      </c>
      <c r="C89" t="s">
        <v>46</v>
      </c>
      <c r="D89" s="1">
        <v>28755</v>
      </c>
      <c r="E89" t="s">
        <v>47</v>
      </c>
      <c r="F89" t="s">
        <v>36</v>
      </c>
      <c r="G89" t="s">
        <v>25</v>
      </c>
      <c r="H89" t="s">
        <v>70</v>
      </c>
      <c r="I89" s="1">
        <v>41827</v>
      </c>
      <c r="J89" t="s">
        <v>584</v>
      </c>
      <c r="K89" s="1" t="s">
        <v>500</v>
      </c>
      <c r="L89" t="s">
        <v>27</v>
      </c>
      <c r="M89" t="s">
        <v>28</v>
      </c>
      <c r="N89" t="s">
        <v>29</v>
      </c>
      <c r="O89" t="s">
        <v>52</v>
      </c>
      <c r="P89">
        <v>16</v>
      </c>
      <c r="Q89" t="s">
        <v>31</v>
      </c>
      <c r="R89" t="s">
        <v>43</v>
      </c>
      <c r="S89">
        <v>4.4000000000000004</v>
      </c>
      <c r="T89">
        <v>5</v>
      </c>
      <c r="U89" t="s">
        <v>564</v>
      </c>
      <c r="V89" s="1">
        <v>43518</v>
      </c>
      <c r="W89">
        <v>17</v>
      </c>
      <c r="X89" t="s">
        <v>586</v>
      </c>
    </row>
    <row r="90" spans="1:24" x14ac:dyDescent="0.25">
      <c r="A90" t="s">
        <v>229</v>
      </c>
      <c r="B90">
        <v>10136</v>
      </c>
      <c r="C90" t="s">
        <v>46</v>
      </c>
      <c r="D90" s="1">
        <v>32047</v>
      </c>
      <c r="E90" t="s">
        <v>47</v>
      </c>
      <c r="F90" t="s">
        <v>24</v>
      </c>
      <c r="G90" t="s">
        <v>25</v>
      </c>
      <c r="H90" t="s">
        <v>70</v>
      </c>
      <c r="I90" s="1">
        <v>41687</v>
      </c>
      <c r="J90" t="s">
        <v>584</v>
      </c>
      <c r="K90" s="1" t="s">
        <v>500</v>
      </c>
      <c r="L90" t="s">
        <v>27</v>
      </c>
      <c r="M90" t="s">
        <v>28</v>
      </c>
      <c r="N90" t="s">
        <v>29</v>
      </c>
      <c r="O90" t="s">
        <v>56</v>
      </c>
      <c r="Q90" t="s">
        <v>31</v>
      </c>
      <c r="R90" t="s">
        <v>43</v>
      </c>
      <c r="S90">
        <v>4</v>
      </c>
      <c r="T90">
        <v>4</v>
      </c>
      <c r="U90" t="s">
        <v>565</v>
      </c>
      <c r="V90" s="1">
        <v>43472</v>
      </c>
      <c r="W90">
        <v>7</v>
      </c>
      <c r="X90" t="s">
        <v>586</v>
      </c>
    </row>
    <row r="91" spans="1:24" x14ac:dyDescent="0.25">
      <c r="A91" t="s">
        <v>230</v>
      </c>
      <c r="B91">
        <v>10189</v>
      </c>
      <c r="C91" t="s">
        <v>22</v>
      </c>
      <c r="D91" s="1">
        <v>20193</v>
      </c>
      <c r="E91" t="s">
        <v>47</v>
      </c>
      <c r="F91" t="s">
        <v>36</v>
      </c>
      <c r="G91" t="s">
        <v>25</v>
      </c>
      <c r="H91" t="s">
        <v>26</v>
      </c>
      <c r="I91" s="1">
        <v>40550</v>
      </c>
      <c r="J91" t="s">
        <v>582</v>
      </c>
      <c r="K91" s="1">
        <v>42507</v>
      </c>
      <c r="L91" t="s">
        <v>218</v>
      </c>
      <c r="M91" t="s">
        <v>39</v>
      </c>
      <c r="N91" t="s">
        <v>29</v>
      </c>
      <c r="O91" t="s">
        <v>56</v>
      </c>
      <c r="P91">
        <v>39</v>
      </c>
      <c r="Q91" t="s">
        <v>57</v>
      </c>
      <c r="R91" t="s">
        <v>43</v>
      </c>
      <c r="S91">
        <v>3.13</v>
      </c>
      <c r="T91">
        <v>3</v>
      </c>
      <c r="U91" t="s">
        <v>566</v>
      </c>
      <c r="V91" s="1">
        <v>42404</v>
      </c>
      <c r="W91">
        <v>16</v>
      </c>
      <c r="X91" t="s">
        <v>585</v>
      </c>
    </row>
    <row r="92" spans="1:24" x14ac:dyDescent="0.25">
      <c r="A92" t="s">
        <v>231</v>
      </c>
      <c r="B92">
        <v>10308</v>
      </c>
      <c r="C92" t="s">
        <v>22</v>
      </c>
      <c r="D92" s="1">
        <v>32799</v>
      </c>
      <c r="E92" t="s">
        <v>23</v>
      </c>
      <c r="F92" t="s">
        <v>36</v>
      </c>
      <c r="G92" t="s">
        <v>25</v>
      </c>
      <c r="H92" t="s">
        <v>26</v>
      </c>
      <c r="I92" s="1">
        <v>42135</v>
      </c>
      <c r="J92" t="s">
        <v>584</v>
      </c>
      <c r="K92" s="1" t="s">
        <v>500</v>
      </c>
      <c r="L92" t="s">
        <v>27</v>
      </c>
      <c r="M92" t="s">
        <v>28</v>
      </c>
      <c r="N92" t="s">
        <v>29</v>
      </c>
      <c r="O92" t="s">
        <v>59</v>
      </c>
      <c r="P92">
        <v>11</v>
      </c>
      <c r="Q92" t="s">
        <v>42</v>
      </c>
      <c r="R92" t="s">
        <v>194</v>
      </c>
      <c r="S92">
        <v>1.56</v>
      </c>
      <c r="T92">
        <v>5</v>
      </c>
      <c r="U92" t="s">
        <v>564</v>
      </c>
      <c r="V92" s="1">
        <v>43468</v>
      </c>
      <c r="W92">
        <v>15</v>
      </c>
      <c r="X92" t="s">
        <v>586</v>
      </c>
    </row>
    <row r="93" spans="1:24" x14ac:dyDescent="0.25">
      <c r="A93" t="s">
        <v>232</v>
      </c>
      <c r="B93">
        <v>10309</v>
      </c>
      <c r="C93" t="s">
        <v>233</v>
      </c>
      <c r="D93" s="1">
        <v>31946</v>
      </c>
      <c r="E93" t="s">
        <v>23</v>
      </c>
      <c r="F93" t="s">
        <v>24</v>
      </c>
      <c r="G93" t="s">
        <v>25</v>
      </c>
      <c r="H93" t="s">
        <v>26</v>
      </c>
      <c r="I93" s="1">
        <v>42093</v>
      </c>
      <c r="J93" t="s">
        <v>584</v>
      </c>
      <c r="K93" s="1" t="s">
        <v>500</v>
      </c>
      <c r="L93" t="s">
        <v>27</v>
      </c>
      <c r="M93" t="s">
        <v>28</v>
      </c>
      <c r="N93" t="s">
        <v>40</v>
      </c>
      <c r="O93" t="s">
        <v>76</v>
      </c>
      <c r="P93">
        <v>7</v>
      </c>
      <c r="Q93" t="s">
        <v>31</v>
      </c>
      <c r="R93" t="s">
        <v>194</v>
      </c>
      <c r="S93">
        <v>1.2</v>
      </c>
      <c r="T93">
        <v>3</v>
      </c>
      <c r="U93" t="s">
        <v>566</v>
      </c>
      <c r="V93" s="1">
        <v>43500</v>
      </c>
      <c r="W93">
        <v>2</v>
      </c>
      <c r="X93" t="s">
        <v>586</v>
      </c>
    </row>
    <row r="94" spans="1:24" x14ac:dyDescent="0.25">
      <c r="A94" t="s">
        <v>234</v>
      </c>
      <c r="B94">
        <v>10049</v>
      </c>
      <c r="C94" t="s">
        <v>22</v>
      </c>
      <c r="D94" s="1">
        <v>29661</v>
      </c>
      <c r="E94" t="s">
        <v>47</v>
      </c>
      <c r="F94" t="s">
        <v>36</v>
      </c>
      <c r="G94" t="s">
        <v>25</v>
      </c>
      <c r="H94" t="s">
        <v>26</v>
      </c>
      <c r="I94" s="1">
        <v>40917</v>
      </c>
      <c r="J94" t="s">
        <v>583</v>
      </c>
      <c r="K94" s="1" t="s">
        <v>500</v>
      </c>
      <c r="L94" t="s">
        <v>27</v>
      </c>
      <c r="M94" t="s">
        <v>28</v>
      </c>
      <c r="N94" t="s">
        <v>29</v>
      </c>
      <c r="O94" t="s">
        <v>71</v>
      </c>
      <c r="P94">
        <v>12</v>
      </c>
      <c r="Q94" t="s">
        <v>57</v>
      </c>
      <c r="R94" t="s">
        <v>43</v>
      </c>
      <c r="S94">
        <v>5</v>
      </c>
      <c r="T94">
        <v>5</v>
      </c>
      <c r="U94" t="s">
        <v>564</v>
      </c>
      <c r="V94" s="1">
        <v>43494</v>
      </c>
      <c r="W94">
        <v>19</v>
      </c>
      <c r="X94" t="s">
        <v>586</v>
      </c>
    </row>
    <row r="95" spans="1:24" x14ac:dyDescent="0.25">
      <c r="A95" t="s">
        <v>235</v>
      </c>
      <c r="B95">
        <v>10093</v>
      </c>
      <c r="C95" t="s">
        <v>46</v>
      </c>
      <c r="D95" s="1">
        <v>29860</v>
      </c>
      <c r="E95" t="s">
        <v>23</v>
      </c>
      <c r="F95" t="s">
        <v>24</v>
      </c>
      <c r="G95" t="s">
        <v>25</v>
      </c>
      <c r="H95" t="s">
        <v>26</v>
      </c>
      <c r="I95" s="1">
        <v>40679</v>
      </c>
      <c r="J95" t="s">
        <v>582</v>
      </c>
      <c r="K95" s="1">
        <v>41449</v>
      </c>
      <c r="L95" t="s">
        <v>48</v>
      </c>
      <c r="M95" t="s">
        <v>39</v>
      </c>
      <c r="N95" t="s">
        <v>29</v>
      </c>
      <c r="O95" t="s">
        <v>59</v>
      </c>
      <c r="P95">
        <v>11</v>
      </c>
      <c r="Q95" t="s">
        <v>57</v>
      </c>
      <c r="R95" t="s">
        <v>43</v>
      </c>
      <c r="S95">
        <v>4.76</v>
      </c>
      <c r="T95">
        <v>5</v>
      </c>
      <c r="U95" t="s">
        <v>564</v>
      </c>
      <c r="V95" s="1">
        <v>41369</v>
      </c>
      <c r="W95">
        <v>20</v>
      </c>
      <c r="X95" t="s">
        <v>583</v>
      </c>
    </row>
    <row r="96" spans="1:24" x14ac:dyDescent="0.25">
      <c r="A96" t="s">
        <v>236</v>
      </c>
      <c r="B96">
        <v>10163</v>
      </c>
      <c r="C96" t="s">
        <v>46</v>
      </c>
      <c r="D96" s="1">
        <v>30324</v>
      </c>
      <c r="E96" t="s">
        <v>47</v>
      </c>
      <c r="F96" t="s">
        <v>36</v>
      </c>
      <c r="G96" t="s">
        <v>25</v>
      </c>
      <c r="H96" t="s">
        <v>26</v>
      </c>
      <c r="I96" s="1">
        <v>40637</v>
      </c>
      <c r="J96" t="s">
        <v>582</v>
      </c>
      <c r="K96" s="1">
        <v>41283</v>
      </c>
      <c r="L96" t="s">
        <v>38</v>
      </c>
      <c r="M96" t="s">
        <v>39</v>
      </c>
      <c r="N96" t="s">
        <v>29</v>
      </c>
      <c r="O96" t="s">
        <v>66</v>
      </c>
      <c r="P96">
        <v>19</v>
      </c>
      <c r="Q96" t="s">
        <v>57</v>
      </c>
      <c r="R96" t="s">
        <v>43</v>
      </c>
      <c r="S96">
        <v>3.66</v>
      </c>
      <c r="T96">
        <v>3</v>
      </c>
      <c r="U96" t="s">
        <v>566</v>
      </c>
      <c r="V96" s="1">
        <v>40915</v>
      </c>
      <c r="W96">
        <v>6</v>
      </c>
      <c r="X96" t="s">
        <v>583</v>
      </c>
    </row>
    <row r="97" spans="1:24" x14ac:dyDescent="0.25">
      <c r="A97" t="s">
        <v>237</v>
      </c>
      <c r="B97">
        <v>10305</v>
      </c>
      <c r="C97" t="s">
        <v>135</v>
      </c>
      <c r="D97" s="1">
        <v>27582</v>
      </c>
      <c r="E97" t="s">
        <v>23</v>
      </c>
      <c r="F97" t="s">
        <v>36</v>
      </c>
      <c r="G97" t="s">
        <v>25</v>
      </c>
      <c r="H97" t="s">
        <v>26</v>
      </c>
      <c r="I97" s="1">
        <v>41911</v>
      </c>
      <c r="J97" t="s">
        <v>584</v>
      </c>
      <c r="K97" s="1">
        <v>43331</v>
      </c>
      <c r="L97" t="s">
        <v>238</v>
      </c>
      <c r="M97" t="s">
        <v>95</v>
      </c>
      <c r="N97" t="s">
        <v>136</v>
      </c>
      <c r="O97" t="s">
        <v>158</v>
      </c>
      <c r="P97">
        <v>21</v>
      </c>
      <c r="Q97" t="s">
        <v>67</v>
      </c>
      <c r="R97" t="s">
        <v>194</v>
      </c>
      <c r="S97">
        <v>2</v>
      </c>
      <c r="T97">
        <v>5</v>
      </c>
      <c r="U97" t="s">
        <v>564</v>
      </c>
      <c r="V97" s="1">
        <v>43493</v>
      </c>
      <c r="W97">
        <v>7</v>
      </c>
      <c r="X97" t="s">
        <v>586</v>
      </c>
    </row>
    <row r="98" spans="1:24" x14ac:dyDescent="0.25">
      <c r="A98" t="s">
        <v>239</v>
      </c>
      <c r="B98">
        <v>10015</v>
      </c>
      <c r="C98" t="s">
        <v>240</v>
      </c>
      <c r="D98" s="1">
        <v>29407</v>
      </c>
      <c r="E98" t="s">
        <v>23</v>
      </c>
      <c r="F98" t="s">
        <v>24</v>
      </c>
      <c r="G98" t="s">
        <v>25</v>
      </c>
      <c r="H98" t="s">
        <v>70</v>
      </c>
      <c r="I98" s="1">
        <v>40648</v>
      </c>
      <c r="J98" t="s">
        <v>582</v>
      </c>
      <c r="K98" s="1" t="s">
        <v>500</v>
      </c>
      <c r="L98" t="s">
        <v>27</v>
      </c>
      <c r="M98" t="s">
        <v>28</v>
      </c>
      <c r="N98" t="s">
        <v>40</v>
      </c>
      <c r="O98" t="s">
        <v>143</v>
      </c>
      <c r="P98">
        <v>5</v>
      </c>
      <c r="Q98" t="s">
        <v>42</v>
      </c>
      <c r="R98" t="s">
        <v>32</v>
      </c>
      <c r="S98">
        <v>5</v>
      </c>
      <c r="T98">
        <v>5</v>
      </c>
      <c r="U98" t="s">
        <v>564</v>
      </c>
      <c r="V98" s="1">
        <v>43472</v>
      </c>
      <c r="W98">
        <v>15</v>
      </c>
      <c r="X98" t="s">
        <v>586</v>
      </c>
    </row>
    <row r="99" spans="1:24" x14ac:dyDescent="0.25">
      <c r="A99" t="s">
        <v>241</v>
      </c>
      <c r="B99">
        <v>10080</v>
      </c>
      <c r="C99" t="s">
        <v>118</v>
      </c>
      <c r="D99" s="1">
        <v>28961</v>
      </c>
      <c r="E99" t="s">
        <v>47</v>
      </c>
      <c r="F99" t="s">
        <v>36</v>
      </c>
      <c r="G99" t="s">
        <v>25</v>
      </c>
      <c r="H99" t="s">
        <v>26</v>
      </c>
      <c r="I99" s="1">
        <v>39818</v>
      </c>
      <c r="J99" t="s">
        <v>581</v>
      </c>
      <c r="K99" s="1" t="s">
        <v>500</v>
      </c>
      <c r="L99" t="s">
        <v>27</v>
      </c>
      <c r="M99" t="s">
        <v>28</v>
      </c>
      <c r="N99" t="s">
        <v>119</v>
      </c>
      <c r="O99" t="s">
        <v>242</v>
      </c>
      <c r="P99">
        <v>9</v>
      </c>
      <c r="Q99" t="s">
        <v>243</v>
      </c>
      <c r="R99" t="s">
        <v>43</v>
      </c>
      <c r="S99">
        <v>5</v>
      </c>
      <c r="T99">
        <v>3</v>
      </c>
      <c r="U99" t="s">
        <v>566</v>
      </c>
      <c r="V99" s="1">
        <v>43504</v>
      </c>
      <c r="W99">
        <v>3</v>
      </c>
      <c r="X99" t="s">
        <v>586</v>
      </c>
    </row>
    <row r="100" spans="1:24" x14ac:dyDescent="0.25">
      <c r="A100" t="s">
        <v>244</v>
      </c>
      <c r="B100">
        <v>10258</v>
      </c>
      <c r="C100" t="s">
        <v>135</v>
      </c>
      <c r="D100" s="1">
        <v>23251</v>
      </c>
      <c r="E100" t="s">
        <v>23</v>
      </c>
      <c r="F100" t="s">
        <v>24</v>
      </c>
      <c r="G100" t="s">
        <v>25</v>
      </c>
      <c r="H100" t="s">
        <v>70</v>
      </c>
      <c r="I100" s="1">
        <v>40792</v>
      </c>
      <c r="J100" t="s">
        <v>582</v>
      </c>
      <c r="K100" s="1" t="s">
        <v>500</v>
      </c>
      <c r="L100" t="s">
        <v>27</v>
      </c>
      <c r="M100" t="s">
        <v>28</v>
      </c>
      <c r="N100" t="s">
        <v>136</v>
      </c>
      <c r="O100" t="s">
        <v>158</v>
      </c>
      <c r="P100">
        <v>21</v>
      </c>
      <c r="Q100" t="s">
        <v>111</v>
      </c>
      <c r="R100" t="s">
        <v>43</v>
      </c>
      <c r="S100">
        <v>4.3</v>
      </c>
      <c r="T100">
        <v>3</v>
      </c>
      <c r="U100" t="s">
        <v>566</v>
      </c>
      <c r="V100" s="1">
        <v>43492</v>
      </c>
      <c r="W100">
        <v>7</v>
      </c>
      <c r="X100" t="s">
        <v>586</v>
      </c>
    </row>
    <row r="101" spans="1:24" x14ac:dyDescent="0.25">
      <c r="A101" t="s">
        <v>245</v>
      </c>
      <c r="B101">
        <v>10273</v>
      </c>
      <c r="C101" t="s">
        <v>75</v>
      </c>
      <c r="D101" s="1">
        <v>25025</v>
      </c>
      <c r="E101" t="s">
        <v>47</v>
      </c>
      <c r="F101" t="s">
        <v>24</v>
      </c>
      <c r="G101" t="s">
        <v>25</v>
      </c>
      <c r="H101" t="s">
        <v>26</v>
      </c>
      <c r="I101" s="1">
        <v>40299</v>
      </c>
      <c r="J101" t="s">
        <v>582</v>
      </c>
      <c r="K101" s="1" t="s">
        <v>500</v>
      </c>
      <c r="L101" t="s">
        <v>27</v>
      </c>
      <c r="M101" t="s">
        <v>28</v>
      </c>
      <c r="N101" t="s">
        <v>40</v>
      </c>
      <c r="O101" t="s">
        <v>165</v>
      </c>
      <c r="P101">
        <v>6</v>
      </c>
      <c r="Q101" t="s">
        <v>31</v>
      </c>
      <c r="R101" t="s">
        <v>43</v>
      </c>
      <c r="S101">
        <v>4.7</v>
      </c>
      <c r="T101">
        <v>4</v>
      </c>
      <c r="U101" t="s">
        <v>565</v>
      </c>
      <c r="V101" s="1">
        <v>43497</v>
      </c>
      <c r="W101">
        <v>1</v>
      </c>
      <c r="X101" t="s">
        <v>586</v>
      </c>
    </row>
    <row r="102" spans="1:24" x14ac:dyDescent="0.25">
      <c r="A102" t="s">
        <v>246</v>
      </c>
      <c r="B102">
        <v>10111</v>
      </c>
      <c r="C102" t="s">
        <v>22</v>
      </c>
      <c r="D102" s="1">
        <v>31305</v>
      </c>
      <c r="E102" t="s">
        <v>23</v>
      </c>
      <c r="F102" t="s">
        <v>24</v>
      </c>
      <c r="G102" t="s">
        <v>25</v>
      </c>
      <c r="H102" t="s">
        <v>26</v>
      </c>
      <c r="I102" s="1">
        <v>42093</v>
      </c>
      <c r="J102" t="s">
        <v>584</v>
      </c>
      <c r="K102" s="1" t="s">
        <v>500</v>
      </c>
      <c r="L102" t="s">
        <v>27</v>
      </c>
      <c r="M102" t="s">
        <v>28</v>
      </c>
      <c r="N102" t="s">
        <v>29</v>
      </c>
      <c r="O102" t="s">
        <v>80</v>
      </c>
      <c r="P102">
        <v>14</v>
      </c>
      <c r="Q102" t="s">
        <v>67</v>
      </c>
      <c r="R102" t="s">
        <v>43</v>
      </c>
      <c r="S102">
        <v>4.5</v>
      </c>
      <c r="T102">
        <v>3</v>
      </c>
      <c r="U102" t="s">
        <v>566</v>
      </c>
      <c r="V102" s="1">
        <v>43514</v>
      </c>
      <c r="W102">
        <v>5</v>
      </c>
      <c r="X102" t="s">
        <v>586</v>
      </c>
    </row>
    <row r="103" spans="1:24" x14ac:dyDescent="0.25">
      <c r="A103" t="s">
        <v>247</v>
      </c>
      <c r="B103">
        <v>10257</v>
      </c>
      <c r="C103" t="s">
        <v>22</v>
      </c>
      <c r="D103" s="1">
        <v>30349</v>
      </c>
      <c r="E103" t="s">
        <v>47</v>
      </c>
      <c r="F103" t="s">
        <v>24</v>
      </c>
      <c r="G103" t="s">
        <v>25</v>
      </c>
      <c r="H103" t="s">
        <v>70</v>
      </c>
      <c r="I103" s="1">
        <v>40679</v>
      </c>
      <c r="J103" t="s">
        <v>582</v>
      </c>
      <c r="K103" s="1" t="s">
        <v>500</v>
      </c>
      <c r="L103" t="s">
        <v>27</v>
      </c>
      <c r="M103" t="s">
        <v>28</v>
      </c>
      <c r="N103" t="s">
        <v>29</v>
      </c>
      <c r="O103" t="s">
        <v>89</v>
      </c>
      <c r="P103">
        <v>18</v>
      </c>
      <c r="Q103" t="s">
        <v>31</v>
      </c>
      <c r="R103" t="s">
        <v>43</v>
      </c>
      <c r="S103">
        <v>4.2</v>
      </c>
      <c r="T103">
        <v>4</v>
      </c>
      <c r="U103" t="s">
        <v>565</v>
      </c>
      <c r="V103" s="1">
        <v>43522</v>
      </c>
      <c r="W103">
        <v>12</v>
      </c>
      <c r="X103" t="s">
        <v>586</v>
      </c>
    </row>
    <row r="104" spans="1:24" x14ac:dyDescent="0.25">
      <c r="A104" t="s">
        <v>249</v>
      </c>
      <c r="B104">
        <v>10159</v>
      </c>
      <c r="C104" t="s">
        <v>22</v>
      </c>
      <c r="D104" s="1">
        <v>33147</v>
      </c>
      <c r="E104" t="s">
        <v>47</v>
      </c>
      <c r="F104" t="s">
        <v>36</v>
      </c>
      <c r="G104" t="s">
        <v>25</v>
      </c>
      <c r="H104" t="s">
        <v>70</v>
      </c>
      <c r="I104" s="1">
        <v>42093</v>
      </c>
      <c r="J104" t="s">
        <v>584</v>
      </c>
      <c r="K104" s="1" t="s">
        <v>500</v>
      </c>
      <c r="L104" t="s">
        <v>27</v>
      </c>
      <c r="M104" t="s">
        <v>28</v>
      </c>
      <c r="N104" t="s">
        <v>29</v>
      </c>
      <c r="O104" t="s">
        <v>30</v>
      </c>
      <c r="P104">
        <v>22</v>
      </c>
      <c r="Q104" t="s">
        <v>31</v>
      </c>
      <c r="R104" t="s">
        <v>43</v>
      </c>
      <c r="S104">
        <v>3.73</v>
      </c>
      <c r="T104">
        <v>3</v>
      </c>
      <c r="U104" t="s">
        <v>566</v>
      </c>
      <c r="V104" s="1">
        <v>43481</v>
      </c>
      <c r="W104">
        <v>19</v>
      </c>
      <c r="X104" t="s">
        <v>586</v>
      </c>
    </row>
    <row r="105" spans="1:24" x14ac:dyDescent="0.25">
      <c r="A105" t="s">
        <v>251</v>
      </c>
      <c r="B105">
        <v>10122</v>
      </c>
      <c r="C105" t="s">
        <v>22</v>
      </c>
      <c r="D105" s="1">
        <v>25703</v>
      </c>
      <c r="E105" t="s">
        <v>47</v>
      </c>
      <c r="F105" t="s">
        <v>54</v>
      </c>
      <c r="G105" t="s">
        <v>25</v>
      </c>
      <c r="H105" t="s">
        <v>70</v>
      </c>
      <c r="I105" s="1">
        <v>40550</v>
      </c>
      <c r="J105" t="s">
        <v>582</v>
      </c>
      <c r="K105" s="1">
        <v>42689</v>
      </c>
      <c r="L105" t="s">
        <v>48</v>
      </c>
      <c r="M105" t="s">
        <v>39</v>
      </c>
      <c r="N105" t="s">
        <v>29</v>
      </c>
      <c r="O105" t="s">
        <v>52</v>
      </c>
      <c r="P105">
        <v>16</v>
      </c>
      <c r="Q105" t="s">
        <v>72</v>
      </c>
      <c r="R105" t="s">
        <v>43</v>
      </c>
      <c r="S105">
        <v>4.24</v>
      </c>
      <c r="T105">
        <v>4</v>
      </c>
      <c r="U105" t="s">
        <v>565</v>
      </c>
      <c r="V105" s="1">
        <v>42489</v>
      </c>
      <c r="W105">
        <v>2</v>
      </c>
      <c r="X105" t="s">
        <v>585</v>
      </c>
    </row>
    <row r="106" spans="1:24" x14ac:dyDescent="0.25">
      <c r="A106" t="s">
        <v>253</v>
      </c>
      <c r="B106">
        <v>10142</v>
      </c>
      <c r="C106" t="s">
        <v>135</v>
      </c>
      <c r="D106" s="1">
        <v>26124</v>
      </c>
      <c r="E106" t="s">
        <v>47</v>
      </c>
      <c r="F106" t="s">
        <v>65</v>
      </c>
      <c r="G106" t="s">
        <v>25</v>
      </c>
      <c r="H106" t="s">
        <v>70</v>
      </c>
      <c r="I106" s="1">
        <v>41827</v>
      </c>
      <c r="J106" t="s">
        <v>584</v>
      </c>
      <c r="K106" s="1">
        <v>42252</v>
      </c>
      <c r="L106" t="s">
        <v>94</v>
      </c>
      <c r="M106" t="s">
        <v>95</v>
      </c>
      <c r="N106" t="s">
        <v>136</v>
      </c>
      <c r="O106" t="s">
        <v>137</v>
      </c>
      <c r="P106">
        <v>17</v>
      </c>
      <c r="Q106" t="s">
        <v>111</v>
      </c>
      <c r="R106" t="s">
        <v>43</v>
      </c>
      <c r="S106">
        <v>3.97</v>
      </c>
      <c r="T106">
        <v>4</v>
      </c>
      <c r="U106" t="s">
        <v>565</v>
      </c>
      <c r="V106" s="1">
        <v>41654</v>
      </c>
      <c r="W106">
        <v>7</v>
      </c>
      <c r="X106" t="s">
        <v>584</v>
      </c>
    </row>
    <row r="107" spans="1:24" x14ac:dyDescent="0.25">
      <c r="A107" t="s">
        <v>255</v>
      </c>
      <c r="B107">
        <v>10283</v>
      </c>
      <c r="C107" t="s">
        <v>22</v>
      </c>
      <c r="D107" s="1">
        <v>27250</v>
      </c>
      <c r="E107" t="s">
        <v>23</v>
      </c>
      <c r="F107" t="s">
        <v>36</v>
      </c>
      <c r="G107" t="s">
        <v>25</v>
      </c>
      <c r="H107" t="s">
        <v>70</v>
      </c>
      <c r="I107" s="1">
        <v>41001</v>
      </c>
      <c r="J107" t="s">
        <v>583</v>
      </c>
      <c r="K107" s="1">
        <v>42180</v>
      </c>
      <c r="L107" t="s">
        <v>218</v>
      </c>
      <c r="M107" t="s">
        <v>39</v>
      </c>
      <c r="N107" t="s">
        <v>29</v>
      </c>
      <c r="O107" t="s">
        <v>56</v>
      </c>
      <c r="P107">
        <v>39</v>
      </c>
      <c r="Q107" t="s">
        <v>72</v>
      </c>
      <c r="R107" t="s">
        <v>112</v>
      </c>
      <c r="S107">
        <v>3.97</v>
      </c>
      <c r="T107">
        <v>4</v>
      </c>
      <c r="U107" t="s">
        <v>565</v>
      </c>
      <c r="V107" s="1">
        <v>42024</v>
      </c>
      <c r="W107">
        <v>15</v>
      </c>
      <c r="X107" t="s">
        <v>584</v>
      </c>
    </row>
    <row r="108" spans="1:24" x14ac:dyDescent="0.25">
      <c r="A108" t="s">
        <v>257</v>
      </c>
      <c r="B108">
        <v>10018</v>
      </c>
      <c r="C108" t="s">
        <v>22</v>
      </c>
      <c r="D108" s="1">
        <v>29349</v>
      </c>
      <c r="E108" t="s">
        <v>47</v>
      </c>
      <c r="F108" t="s">
        <v>24</v>
      </c>
      <c r="G108" t="s">
        <v>25</v>
      </c>
      <c r="H108" t="s">
        <v>87</v>
      </c>
      <c r="I108" s="1">
        <v>41911</v>
      </c>
      <c r="J108" t="s">
        <v>584</v>
      </c>
      <c r="K108" s="1" t="s">
        <v>500</v>
      </c>
      <c r="L108" t="s">
        <v>27</v>
      </c>
      <c r="M108" t="s">
        <v>28</v>
      </c>
      <c r="N108" t="s">
        <v>29</v>
      </c>
      <c r="O108" t="s">
        <v>59</v>
      </c>
      <c r="P108">
        <v>11</v>
      </c>
      <c r="Q108" t="s">
        <v>42</v>
      </c>
      <c r="R108" t="s">
        <v>32</v>
      </c>
      <c r="S108">
        <v>3.9</v>
      </c>
      <c r="T108">
        <v>4</v>
      </c>
      <c r="U108" t="s">
        <v>565</v>
      </c>
      <c r="V108" s="1">
        <v>43503</v>
      </c>
      <c r="W108">
        <v>3</v>
      </c>
      <c r="X108" t="s">
        <v>586</v>
      </c>
    </row>
    <row r="109" spans="1:24" x14ac:dyDescent="0.25">
      <c r="A109" t="s">
        <v>258</v>
      </c>
      <c r="B109">
        <v>10255</v>
      </c>
      <c r="C109" t="s">
        <v>135</v>
      </c>
      <c r="D109" s="1">
        <v>32773</v>
      </c>
      <c r="E109" t="s">
        <v>47</v>
      </c>
      <c r="F109" t="s">
        <v>24</v>
      </c>
      <c r="G109" t="s">
        <v>25</v>
      </c>
      <c r="H109" t="s">
        <v>26</v>
      </c>
      <c r="I109" s="1">
        <v>42051</v>
      </c>
      <c r="J109" t="s">
        <v>584</v>
      </c>
      <c r="K109" s="1" t="s">
        <v>500</v>
      </c>
      <c r="L109" t="s">
        <v>27</v>
      </c>
      <c r="M109" t="s">
        <v>28</v>
      </c>
      <c r="N109" t="s">
        <v>136</v>
      </c>
      <c r="O109" t="s">
        <v>158</v>
      </c>
      <c r="P109">
        <v>21</v>
      </c>
      <c r="Q109" t="s">
        <v>42</v>
      </c>
      <c r="R109" t="s">
        <v>43</v>
      </c>
      <c r="S109">
        <v>4.5</v>
      </c>
      <c r="T109">
        <v>5</v>
      </c>
      <c r="U109" t="s">
        <v>564</v>
      </c>
      <c r="V109" s="1">
        <v>43490</v>
      </c>
      <c r="W109">
        <v>20</v>
      </c>
      <c r="X109" t="s">
        <v>586</v>
      </c>
    </row>
    <row r="110" spans="1:24" x14ac:dyDescent="0.25">
      <c r="A110" t="s">
        <v>259</v>
      </c>
      <c r="B110">
        <v>10246</v>
      </c>
      <c r="C110" t="s">
        <v>101</v>
      </c>
      <c r="D110" s="1">
        <v>26229</v>
      </c>
      <c r="E110" t="s">
        <v>47</v>
      </c>
      <c r="F110" t="s">
        <v>24</v>
      </c>
      <c r="G110" t="s">
        <v>25</v>
      </c>
      <c r="H110" t="s">
        <v>26</v>
      </c>
      <c r="I110" s="1">
        <v>42051</v>
      </c>
      <c r="J110" t="s">
        <v>584</v>
      </c>
      <c r="K110" s="1">
        <v>42078</v>
      </c>
      <c r="L110" t="s">
        <v>225</v>
      </c>
      <c r="M110" t="s">
        <v>95</v>
      </c>
      <c r="N110" t="s">
        <v>40</v>
      </c>
      <c r="O110" t="s">
        <v>41</v>
      </c>
      <c r="P110">
        <v>4</v>
      </c>
      <c r="Q110" t="s">
        <v>42</v>
      </c>
      <c r="R110" t="s">
        <v>43</v>
      </c>
      <c r="S110">
        <v>4.5999999999999996</v>
      </c>
      <c r="T110">
        <v>4</v>
      </c>
      <c r="U110" t="s">
        <v>565</v>
      </c>
      <c r="V110" s="1">
        <v>42024</v>
      </c>
      <c r="W110">
        <v>10</v>
      </c>
      <c r="X110" t="s">
        <v>584</v>
      </c>
    </row>
    <row r="111" spans="1:24" x14ac:dyDescent="0.25">
      <c r="A111" t="s">
        <v>260</v>
      </c>
      <c r="B111">
        <v>10228</v>
      </c>
      <c r="C111" t="s">
        <v>75</v>
      </c>
      <c r="D111" s="1">
        <v>32532</v>
      </c>
      <c r="E111" t="s">
        <v>23</v>
      </c>
      <c r="F111" t="s">
        <v>36</v>
      </c>
      <c r="G111" t="s">
        <v>25</v>
      </c>
      <c r="H111" t="s">
        <v>26</v>
      </c>
      <c r="I111" s="1">
        <v>42093</v>
      </c>
      <c r="J111" t="s">
        <v>584</v>
      </c>
      <c r="K111" s="1" t="s">
        <v>500</v>
      </c>
      <c r="L111" t="s">
        <v>27</v>
      </c>
      <c r="M111" t="s">
        <v>28</v>
      </c>
      <c r="N111" t="s">
        <v>40</v>
      </c>
      <c r="O111" t="s">
        <v>76</v>
      </c>
      <c r="P111">
        <v>7</v>
      </c>
      <c r="Q111" t="s">
        <v>31</v>
      </c>
      <c r="R111" t="s">
        <v>43</v>
      </c>
      <c r="S111">
        <v>4.3</v>
      </c>
      <c r="T111">
        <v>5</v>
      </c>
      <c r="U111" t="s">
        <v>564</v>
      </c>
      <c r="V111" s="1">
        <v>43475</v>
      </c>
      <c r="W111">
        <v>20</v>
      </c>
      <c r="X111" t="s">
        <v>586</v>
      </c>
    </row>
    <row r="112" spans="1:24" x14ac:dyDescent="0.25">
      <c r="A112" t="s">
        <v>261</v>
      </c>
      <c r="B112">
        <v>10243</v>
      </c>
      <c r="C112" t="s">
        <v>22</v>
      </c>
      <c r="D112" s="1">
        <v>33773</v>
      </c>
      <c r="E112" t="s">
        <v>47</v>
      </c>
      <c r="F112" t="s">
        <v>24</v>
      </c>
      <c r="G112" t="s">
        <v>25</v>
      </c>
      <c r="H112" t="s">
        <v>26</v>
      </c>
      <c r="I112" s="1">
        <v>41285</v>
      </c>
      <c r="J112" t="s">
        <v>583</v>
      </c>
      <c r="K112" s="1" t="s">
        <v>500</v>
      </c>
      <c r="L112" t="s">
        <v>27</v>
      </c>
      <c r="M112" t="s">
        <v>28</v>
      </c>
      <c r="N112" t="s">
        <v>29</v>
      </c>
      <c r="O112" t="s">
        <v>66</v>
      </c>
      <c r="P112">
        <v>19</v>
      </c>
      <c r="Q112" t="s">
        <v>42</v>
      </c>
      <c r="R112" t="s">
        <v>43</v>
      </c>
      <c r="S112">
        <v>4.3</v>
      </c>
      <c r="T112">
        <v>5</v>
      </c>
      <c r="U112" t="s">
        <v>564</v>
      </c>
      <c r="V112" s="1">
        <v>43514</v>
      </c>
      <c r="W112">
        <v>7</v>
      </c>
      <c r="X112" t="s">
        <v>586</v>
      </c>
    </row>
    <row r="113" spans="1:24" x14ac:dyDescent="0.25">
      <c r="A113" t="s">
        <v>262</v>
      </c>
      <c r="B113">
        <v>10031</v>
      </c>
      <c r="C113" t="s">
        <v>22</v>
      </c>
      <c r="D113" s="1">
        <v>25475</v>
      </c>
      <c r="E113" t="s">
        <v>23</v>
      </c>
      <c r="F113" t="s">
        <v>54</v>
      </c>
      <c r="G113" t="s">
        <v>25</v>
      </c>
      <c r="H113" t="s">
        <v>70</v>
      </c>
      <c r="I113" s="1">
        <v>40735</v>
      </c>
      <c r="J113" t="s">
        <v>582</v>
      </c>
      <c r="K113" s="1" t="s">
        <v>500</v>
      </c>
      <c r="L113" t="s">
        <v>27</v>
      </c>
      <c r="M113" t="s">
        <v>28</v>
      </c>
      <c r="N113" t="s">
        <v>29</v>
      </c>
      <c r="O113" t="s">
        <v>71</v>
      </c>
      <c r="P113">
        <v>12</v>
      </c>
      <c r="Q113" t="s">
        <v>72</v>
      </c>
      <c r="R113" t="s">
        <v>32</v>
      </c>
      <c r="S113">
        <v>4.5</v>
      </c>
      <c r="T113">
        <v>4</v>
      </c>
      <c r="U113" t="s">
        <v>565</v>
      </c>
      <c r="V113" s="1">
        <v>43514</v>
      </c>
      <c r="W113">
        <v>1</v>
      </c>
      <c r="X113" t="s">
        <v>586</v>
      </c>
    </row>
    <row r="114" spans="1:24" x14ac:dyDescent="0.25">
      <c r="A114" t="s">
        <v>263</v>
      </c>
      <c r="B114">
        <v>10300</v>
      </c>
      <c r="C114" t="s">
        <v>46</v>
      </c>
      <c r="D114" s="1">
        <v>23662</v>
      </c>
      <c r="E114" t="s">
        <v>23</v>
      </c>
      <c r="F114" t="s">
        <v>36</v>
      </c>
      <c r="G114" t="s">
        <v>25</v>
      </c>
      <c r="H114" t="s">
        <v>70</v>
      </c>
      <c r="I114" s="1">
        <v>40294</v>
      </c>
      <c r="J114" t="s">
        <v>582</v>
      </c>
      <c r="K114" s="1">
        <v>40693</v>
      </c>
      <c r="L114" t="s">
        <v>38</v>
      </c>
      <c r="M114" t="s">
        <v>39</v>
      </c>
      <c r="N114" t="s">
        <v>29</v>
      </c>
      <c r="O114" t="s">
        <v>71</v>
      </c>
      <c r="P114">
        <v>12</v>
      </c>
      <c r="Q114" t="s">
        <v>72</v>
      </c>
      <c r="R114" t="s">
        <v>194</v>
      </c>
      <c r="S114">
        <v>3</v>
      </c>
      <c r="T114">
        <v>3</v>
      </c>
      <c r="U114" t="s">
        <v>566</v>
      </c>
      <c r="V114" s="1">
        <v>40608</v>
      </c>
      <c r="W114">
        <v>10</v>
      </c>
      <c r="X114" t="s">
        <v>582</v>
      </c>
    </row>
    <row r="115" spans="1:24" x14ac:dyDescent="0.25">
      <c r="A115" t="s">
        <v>264</v>
      </c>
      <c r="B115">
        <v>10101</v>
      </c>
      <c r="C115" t="s">
        <v>75</v>
      </c>
      <c r="D115" s="1">
        <v>29692</v>
      </c>
      <c r="E115" t="s">
        <v>47</v>
      </c>
      <c r="F115" t="s">
        <v>132</v>
      </c>
      <c r="G115" t="s">
        <v>25</v>
      </c>
      <c r="H115" t="s">
        <v>26</v>
      </c>
      <c r="I115" s="1">
        <v>42009</v>
      </c>
      <c r="J115" t="s">
        <v>584</v>
      </c>
      <c r="K115" s="1" t="s">
        <v>500</v>
      </c>
      <c r="L115" t="s">
        <v>27</v>
      </c>
      <c r="M115" t="s">
        <v>28</v>
      </c>
      <c r="N115" t="s">
        <v>40</v>
      </c>
      <c r="O115" t="s">
        <v>76</v>
      </c>
      <c r="P115">
        <v>7</v>
      </c>
      <c r="Q115" t="s">
        <v>67</v>
      </c>
      <c r="R115" t="s">
        <v>43</v>
      </c>
      <c r="S115">
        <v>4.6100000000000003</v>
      </c>
      <c r="T115">
        <v>4</v>
      </c>
      <c r="U115" t="s">
        <v>565</v>
      </c>
      <c r="V115" s="1">
        <v>43493</v>
      </c>
      <c r="W115">
        <v>11</v>
      </c>
      <c r="X115" t="s">
        <v>586</v>
      </c>
    </row>
    <row r="116" spans="1:24" x14ac:dyDescent="0.25">
      <c r="A116" t="s">
        <v>265</v>
      </c>
      <c r="B116">
        <v>10237</v>
      </c>
      <c r="C116" t="s">
        <v>46</v>
      </c>
      <c r="D116" s="1">
        <v>31557</v>
      </c>
      <c r="E116" t="s">
        <v>47</v>
      </c>
      <c r="F116" t="s">
        <v>36</v>
      </c>
      <c r="G116" t="s">
        <v>25</v>
      </c>
      <c r="H116" t="s">
        <v>26</v>
      </c>
      <c r="I116" s="1">
        <v>41771</v>
      </c>
      <c r="J116" t="s">
        <v>584</v>
      </c>
      <c r="K116" s="1" t="s">
        <v>500</v>
      </c>
      <c r="L116" t="s">
        <v>27</v>
      </c>
      <c r="M116" t="s">
        <v>28</v>
      </c>
      <c r="N116" t="s">
        <v>29</v>
      </c>
      <c r="O116" t="s">
        <v>80</v>
      </c>
      <c r="P116">
        <v>14</v>
      </c>
      <c r="Q116" t="s">
        <v>31</v>
      </c>
      <c r="R116" t="s">
        <v>43</v>
      </c>
      <c r="S116">
        <v>4.5999999999999996</v>
      </c>
      <c r="T116">
        <v>3</v>
      </c>
      <c r="U116" t="s">
        <v>566</v>
      </c>
      <c r="V116" s="1">
        <v>43503</v>
      </c>
      <c r="W116">
        <v>20</v>
      </c>
      <c r="X116" t="s">
        <v>586</v>
      </c>
    </row>
    <row r="117" spans="1:24" x14ac:dyDescent="0.25">
      <c r="A117" t="s">
        <v>266</v>
      </c>
      <c r="B117">
        <v>10051</v>
      </c>
      <c r="C117" t="s">
        <v>22</v>
      </c>
      <c r="D117" s="1">
        <v>28996</v>
      </c>
      <c r="E117" t="s">
        <v>23</v>
      </c>
      <c r="F117" t="s">
        <v>36</v>
      </c>
      <c r="G117" t="s">
        <v>25</v>
      </c>
      <c r="H117" t="s">
        <v>26</v>
      </c>
      <c r="I117" s="1">
        <v>41092</v>
      </c>
      <c r="J117" t="s">
        <v>583</v>
      </c>
      <c r="K117" s="1" t="s">
        <v>500</v>
      </c>
      <c r="L117" t="s">
        <v>27</v>
      </c>
      <c r="M117" t="s">
        <v>28</v>
      </c>
      <c r="N117" t="s">
        <v>29</v>
      </c>
      <c r="O117" t="s">
        <v>80</v>
      </c>
      <c r="P117">
        <v>14</v>
      </c>
      <c r="Q117" t="s">
        <v>31</v>
      </c>
      <c r="R117" t="s">
        <v>43</v>
      </c>
      <c r="S117">
        <v>5</v>
      </c>
      <c r="T117">
        <v>3</v>
      </c>
      <c r="U117" t="s">
        <v>566</v>
      </c>
      <c r="V117" s="1">
        <v>43479</v>
      </c>
      <c r="W117">
        <v>2</v>
      </c>
      <c r="X117" t="s">
        <v>586</v>
      </c>
    </row>
    <row r="118" spans="1:24" x14ac:dyDescent="0.25">
      <c r="A118" t="s">
        <v>267</v>
      </c>
      <c r="B118">
        <v>10218</v>
      </c>
      <c r="C118" t="s">
        <v>46</v>
      </c>
      <c r="D118" s="1">
        <v>30355</v>
      </c>
      <c r="E118" t="s">
        <v>47</v>
      </c>
      <c r="F118" t="s">
        <v>132</v>
      </c>
      <c r="G118" t="s">
        <v>25</v>
      </c>
      <c r="H118" t="s">
        <v>268</v>
      </c>
      <c r="I118" s="1">
        <v>41547</v>
      </c>
      <c r="J118" t="s">
        <v>583</v>
      </c>
      <c r="K118" s="1" t="s">
        <v>500</v>
      </c>
      <c r="L118" t="s">
        <v>27</v>
      </c>
      <c r="M118" t="s">
        <v>28</v>
      </c>
      <c r="N118" t="s">
        <v>29</v>
      </c>
      <c r="O118" t="s">
        <v>49</v>
      </c>
      <c r="P118">
        <v>20</v>
      </c>
      <c r="Q118" t="s">
        <v>57</v>
      </c>
      <c r="R118" t="s">
        <v>43</v>
      </c>
      <c r="S118">
        <v>4.4000000000000004</v>
      </c>
      <c r="T118">
        <v>5</v>
      </c>
      <c r="U118" t="s">
        <v>564</v>
      </c>
      <c r="V118" s="1">
        <v>43517</v>
      </c>
      <c r="W118">
        <v>1</v>
      </c>
      <c r="X118" t="s">
        <v>586</v>
      </c>
    </row>
    <row r="119" spans="1:24" x14ac:dyDescent="0.25">
      <c r="A119" t="s">
        <v>269</v>
      </c>
      <c r="B119">
        <v>10256</v>
      </c>
      <c r="C119" t="s">
        <v>22</v>
      </c>
      <c r="D119" s="1">
        <v>27311</v>
      </c>
      <c r="E119" t="s">
        <v>47</v>
      </c>
      <c r="F119" t="s">
        <v>36</v>
      </c>
      <c r="G119" t="s">
        <v>25</v>
      </c>
      <c r="H119" t="s">
        <v>105</v>
      </c>
      <c r="I119" s="1">
        <v>41505</v>
      </c>
      <c r="J119" t="s">
        <v>583</v>
      </c>
      <c r="K119" s="1" t="s">
        <v>500</v>
      </c>
      <c r="L119" t="s">
        <v>27</v>
      </c>
      <c r="M119" t="s">
        <v>28</v>
      </c>
      <c r="N119" t="s">
        <v>29</v>
      </c>
      <c r="O119" t="s">
        <v>49</v>
      </c>
      <c r="P119">
        <v>20</v>
      </c>
      <c r="Q119" t="s">
        <v>31</v>
      </c>
      <c r="R119" t="s">
        <v>43</v>
      </c>
      <c r="S119">
        <v>4.0999999999999996</v>
      </c>
      <c r="T119">
        <v>5</v>
      </c>
      <c r="U119" t="s">
        <v>564</v>
      </c>
      <c r="V119" s="1">
        <v>43511</v>
      </c>
      <c r="W119">
        <v>3</v>
      </c>
      <c r="X119" t="s">
        <v>586</v>
      </c>
    </row>
    <row r="120" spans="1:24" x14ac:dyDescent="0.25">
      <c r="A120" t="s">
        <v>271</v>
      </c>
      <c r="B120">
        <v>10098</v>
      </c>
      <c r="C120" t="s">
        <v>122</v>
      </c>
      <c r="D120" s="1">
        <v>29778</v>
      </c>
      <c r="E120" t="s">
        <v>23</v>
      </c>
      <c r="F120" t="s">
        <v>54</v>
      </c>
      <c r="G120" t="s">
        <v>25</v>
      </c>
      <c r="H120" t="s">
        <v>26</v>
      </c>
      <c r="I120" s="1">
        <v>42157</v>
      </c>
      <c r="J120" t="s">
        <v>584</v>
      </c>
      <c r="K120" s="1" t="s">
        <v>500</v>
      </c>
      <c r="L120" t="s">
        <v>27</v>
      </c>
      <c r="M120" t="s">
        <v>28</v>
      </c>
      <c r="N120" t="s">
        <v>29</v>
      </c>
      <c r="O120" t="s">
        <v>124</v>
      </c>
      <c r="P120">
        <v>2</v>
      </c>
      <c r="Q120" t="s">
        <v>67</v>
      </c>
      <c r="R120" t="s">
        <v>43</v>
      </c>
      <c r="S120">
        <v>4.63</v>
      </c>
      <c r="T120">
        <v>3</v>
      </c>
      <c r="U120" t="s">
        <v>566</v>
      </c>
      <c r="V120" s="1">
        <v>43469</v>
      </c>
      <c r="W120">
        <v>2</v>
      </c>
      <c r="X120" t="s">
        <v>586</v>
      </c>
    </row>
    <row r="121" spans="1:24" x14ac:dyDescent="0.25">
      <c r="A121" t="s">
        <v>272</v>
      </c>
      <c r="B121">
        <v>10059</v>
      </c>
      <c r="C121" t="s">
        <v>22</v>
      </c>
      <c r="D121" s="1">
        <v>30457</v>
      </c>
      <c r="E121" t="s">
        <v>47</v>
      </c>
      <c r="F121" t="s">
        <v>54</v>
      </c>
      <c r="G121" t="s">
        <v>25</v>
      </c>
      <c r="H121" t="s">
        <v>26</v>
      </c>
      <c r="I121" s="1">
        <v>40595</v>
      </c>
      <c r="J121" t="s">
        <v>582</v>
      </c>
      <c r="K121" s="1">
        <v>41650</v>
      </c>
      <c r="L121" t="s">
        <v>196</v>
      </c>
      <c r="M121" t="s">
        <v>39</v>
      </c>
      <c r="N121" t="s">
        <v>29</v>
      </c>
      <c r="O121" t="s">
        <v>89</v>
      </c>
      <c r="P121">
        <v>18</v>
      </c>
      <c r="Q121" t="s">
        <v>111</v>
      </c>
      <c r="R121" t="s">
        <v>43</v>
      </c>
      <c r="S121">
        <v>5</v>
      </c>
      <c r="T121">
        <v>5</v>
      </c>
      <c r="U121" t="s">
        <v>564</v>
      </c>
      <c r="V121" s="1">
        <v>41428</v>
      </c>
      <c r="W121">
        <v>17</v>
      </c>
      <c r="X121" t="s">
        <v>583</v>
      </c>
    </row>
    <row r="122" spans="1:24" x14ac:dyDescent="0.25">
      <c r="A122" t="s">
        <v>273</v>
      </c>
      <c r="B122">
        <v>10234</v>
      </c>
      <c r="C122" t="s">
        <v>199</v>
      </c>
      <c r="D122" s="1">
        <v>32689</v>
      </c>
      <c r="E122" t="s">
        <v>23</v>
      </c>
      <c r="F122" t="s">
        <v>36</v>
      </c>
      <c r="G122" t="s">
        <v>25</v>
      </c>
      <c r="H122" t="s">
        <v>70</v>
      </c>
      <c r="I122" s="1">
        <v>42845</v>
      </c>
      <c r="J122" t="s">
        <v>585</v>
      </c>
      <c r="K122" s="1" t="s">
        <v>500</v>
      </c>
      <c r="L122" t="s">
        <v>27</v>
      </c>
      <c r="M122" t="s">
        <v>28</v>
      </c>
      <c r="N122" t="s">
        <v>40</v>
      </c>
      <c r="O122" t="s">
        <v>201</v>
      </c>
      <c r="P122">
        <v>13</v>
      </c>
      <c r="Q122" t="s">
        <v>42</v>
      </c>
      <c r="R122" t="s">
        <v>43</v>
      </c>
      <c r="S122">
        <v>4.2</v>
      </c>
      <c r="T122">
        <v>5</v>
      </c>
      <c r="U122" t="s">
        <v>564</v>
      </c>
      <c r="V122" s="1">
        <v>43493</v>
      </c>
      <c r="W122">
        <v>8</v>
      </c>
      <c r="X122" t="s">
        <v>586</v>
      </c>
    </row>
    <row r="123" spans="1:24" x14ac:dyDescent="0.25">
      <c r="A123" t="s">
        <v>274</v>
      </c>
      <c r="B123">
        <v>10109</v>
      </c>
      <c r="C123" t="s">
        <v>135</v>
      </c>
      <c r="D123" s="1">
        <v>25243</v>
      </c>
      <c r="E123" t="s">
        <v>23</v>
      </c>
      <c r="F123" t="s">
        <v>24</v>
      </c>
      <c r="G123" t="s">
        <v>25</v>
      </c>
      <c r="H123" t="s">
        <v>87</v>
      </c>
      <c r="I123" s="1">
        <v>40975</v>
      </c>
      <c r="J123" t="s">
        <v>583</v>
      </c>
      <c r="K123" s="1">
        <v>41943</v>
      </c>
      <c r="L123" t="s">
        <v>161</v>
      </c>
      <c r="M123" t="s">
        <v>39</v>
      </c>
      <c r="N123" t="s">
        <v>136</v>
      </c>
      <c r="O123" t="s">
        <v>137</v>
      </c>
      <c r="P123">
        <v>17</v>
      </c>
      <c r="Q123" t="s">
        <v>31</v>
      </c>
      <c r="R123" t="s">
        <v>43</v>
      </c>
      <c r="S123">
        <v>4.5</v>
      </c>
      <c r="T123">
        <v>5</v>
      </c>
      <c r="U123" t="s">
        <v>564</v>
      </c>
      <c r="V123" s="1">
        <v>41306</v>
      </c>
      <c r="W123">
        <v>20</v>
      </c>
      <c r="X123" t="s">
        <v>583</v>
      </c>
    </row>
    <row r="124" spans="1:24" x14ac:dyDescent="0.25">
      <c r="A124" t="s">
        <v>275</v>
      </c>
      <c r="B124">
        <v>10125</v>
      </c>
      <c r="C124" t="s">
        <v>22</v>
      </c>
      <c r="D124" s="1">
        <v>28207</v>
      </c>
      <c r="E124" t="s">
        <v>47</v>
      </c>
      <c r="F124" t="s">
        <v>36</v>
      </c>
      <c r="G124" t="s">
        <v>25</v>
      </c>
      <c r="H124" t="s">
        <v>26</v>
      </c>
      <c r="I124" s="1">
        <v>40571</v>
      </c>
      <c r="J124" t="s">
        <v>582</v>
      </c>
      <c r="K124" s="1" t="s">
        <v>500</v>
      </c>
      <c r="L124" t="s">
        <v>27</v>
      </c>
      <c r="M124" t="s">
        <v>28</v>
      </c>
      <c r="N124" t="s">
        <v>29</v>
      </c>
      <c r="O124" t="s">
        <v>30</v>
      </c>
      <c r="P124">
        <v>22</v>
      </c>
      <c r="Q124" t="s">
        <v>57</v>
      </c>
      <c r="R124" t="s">
        <v>43</v>
      </c>
      <c r="S124">
        <v>4.2</v>
      </c>
      <c r="T124">
        <v>4</v>
      </c>
      <c r="U124" t="s">
        <v>565</v>
      </c>
      <c r="V124" s="1">
        <v>43518</v>
      </c>
      <c r="W124">
        <v>13</v>
      </c>
      <c r="X124" t="s">
        <v>586</v>
      </c>
    </row>
    <row r="125" spans="1:24" x14ac:dyDescent="0.25">
      <c r="A125" t="s">
        <v>276</v>
      </c>
      <c r="B125">
        <v>10074</v>
      </c>
      <c r="C125" t="s">
        <v>46</v>
      </c>
      <c r="D125" s="1">
        <v>32365</v>
      </c>
      <c r="E125" t="s">
        <v>23</v>
      </c>
      <c r="F125" t="s">
        <v>24</v>
      </c>
      <c r="G125" t="s">
        <v>25</v>
      </c>
      <c r="H125" t="s">
        <v>26</v>
      </c>
      <c r="I125" s="1">
        <v>41285</v>
      </c>
      <c r="J125" t="s">
        <v>583</v>
      </c>
      <c r="K125" s="1" t="s">
        <v>500</v>
      </c>
      <c r="L125" t="s">
        <v>27</v>
      </c>
      <c r="M125" t="s">
        <v>28</v>
      </c>
      <c r="N125" t="s">
        <v>29</v>
      </c>
      <c r="O125" t="s">
        <v>89</v>
      </c>
      <c r="P125">
        <v>18</v>
      </c>
      <c r="Q125" t="s">
        <v>31</v>
      </c>
      <c r="R125" t="s">
        <v>43</v>
      </c>
      <c r="S125">
        <v>5</v>
      </c>
      <c r="T125">
        <v>3</v>
      </c>
      <c r="U125" t="s">
        <v>566</v>
      </c>
      <c r="V125" s="1">
        <v>43473</v>
      </c>
      <c r="W125">
        <v>20</v>
      </c>
      <c r="X125" t="s">
        <v>586</v>
      </c>
    </row>
    <row r="126" spans="1:24" x14ac:dyDescent="0.25">
      <c r="A126" t="s">
        <v>277</v>
      </c>
      <c r="B126">
        <v>10097</v>
      </c>
      <c r="C126" t="s">
        <v>22</v>
      </c>
      <c r="D126" s="1">
        <v>19224</v>
      </c>
      <c r="E126" t="s">
        <v>47</v>
      </c>
      <c r="F126" t="s">
        <v>24</v>
      </c>
      <c r="G126" t="s">
        <v>25</v>
      </c>
      <c r="H126" t="s">
        <v>26</v>
      </c>
      <c r="I126" s="1">
        <v>40917</v>
      </c>
      <c r="J126" t="s">
        <v>583</v>
      </c>
      <c r="K126" s="1">
        <v>42353</v>
      </c>
      <c r="L126" t="s">
        <v>123</v>
      </c>
      <c r="M126" t="s">
        <v>39</v>
      </c>
      <c r="N126" t="s">
        <v>29</v>
      </c>
      <c r="O126" t="s">
        <v>56</v>
      </c>
      <c r="P126">
        <v>39</v>
      </c>
      <c r="Q126" t="s">
        <v>111</v>
      </c>
      <c r="R126" t="s">
        <v>43</v>
      </c>
      <c r="S126">
        <v>4.6399999999999997</v>
      </c>
      <c r="T126">
        <v>4</v>
      </c>
      <c r="U126" t="s">
        <v>565</v>
      </c>
      <c r="V126" s="1">
        <v>42126</v>
      </c>
      <c r="W126">
        <v>8</v>
      </c>
      <c r="X126" t="s">
        <v>584</v>
      </c>
    </row>
    <row r="127" spans="1:24" x14ac:dyDescent="0.25">
      <c r="A127" t="s">
        <v>278</v>
      </c>
      <c r="B127">
        <v>10007</v>
      </c>
      <c r="C127" t="s">
        <v>22</v>
      </c>
      <c r="D127" s="1">
        <v>27151</v>
      </c>
      <c r="E127" t="s">
        <v>47</v>
      </c>
      <c r="F127" t="s">
        <v>36</v>
      </c>
      <c r="G127" t="s">
        <v>25</v>
      </c>
      <c r="H127" t="s">
        <v>26</v>
      </c>
      <c r="I127" s="1">
        <v>41771</v>
      </c>
      <c r="J127" t="s">
        <v>584</v>
      </c>
      <c r="K127" s="1" t="s">
        <v>500</v>
      </c>
      <c r="L127" t="s">
        <v>27</v>
      </c>
      <c r="M127" t="s">
        <v>28</v>
      </c>
      <c r="N127" t="s">
        <v>29</v>
      </c>
      <c r="O127" t="s">
        <v>59</v>
      </c>
      <c r="P127">
        <v>11</v>
      </c>
      <c r="Q127" t="s">
        <v>111</v>
      </c>
      <c r="R127" t="s">
        <v>32</v>
      </c>
      <c r="S127">
        <v>4.76</v>
      </c>
      <c r="T127">
        <v>4</v>
      </c>
      <c r="U127" t="s">
        <v>565</v>
      </c>
      <c r="V127" s="1">
        <v>43511</v>
      </c>
      <c r="W127">
        <v>5</v>
      </c>
      <c r="X127" t="s">
        <v>586</v>
      </c>
    </row>
    <row r="128" spans="1:24" x14ac:dyDescent="0.25">
      <c r="A128" t="s">
        <v>279</v>
      </c>
      <c r="B128">
        <v>10129</v>
      </c>
      <c r="C128" t="s">
        <v>22</v>
      </c>
      <c r="D128" s="1">
        <v>30685</v>
      </c>
      <c r="E128" t="s">
        <v>23</v>
      </c>
      <c r="F128" t="s">
        <v>24</v>
      </c>
      <c r="G128" t="s">
        <v>25</v>
      </c>
      <c r="H128" t="s">
        <v>26</v>
      </c>
      <c r="I128" s="1">
        <v>41134</v>
      </c>
      <c r="J128" t="s">
        <v>583</v>
      </c>
      <c r="K128" s="1" t="s">
        <v>500</v>
      </c>
      <c r="L128" t="s">
        <v>27</v>
      </c>
      <c r="M128" t="s">
        <v>28</v>
      </c>
      <c r="N128" t="s">
        <v>29</v>
      </c>
      <c r="O128" t="s">
        <v>66</v>
      </c>
      <c r="P128">
        <v>19</v>
      </c>
      <c r="Q128" t="s">
        <v>57</v>
      </c>
      <c r="R128" t="s">
        <v>43</v>
      </c>
      <c r="S128">
        <v>4.17</v>
      </c>
      <c r="T128">
        <v>4</v>
      </c>
      <c r="U128" t="s">
        <v>565</v>
      </c>
      <c r="V128" s="1">
        <v>43507</v>
      </c>
      <c r="W128">
        <v>1</v>
      </c>
      <c r="X128" t="s">
        <v>586</v>
      </c>
    </row>
    <row r="129" spans="1:24" x14ac:dyDescent="0.25">
      <c r="A129" t="s">
        <v>280</v>
      </c>
      <c r="B129">
        <v>10075</v>
      </c>
      <c r="C129" t="s">
        <v>46</v>
      </c>
      <c r="D129" s="1">
        <v>26538</v>
      </c>
      <c r="E129" t="s">
        <v>47</v>
      </c>
      <c r="F129" t="s">
        <v>24</v>
      </c>
      <c r="G129" t="s">
        <v>25</v>
      </c>
      <c r="H129" t="s">
        <v>26</v>
      </c>
      <c r="I129" s="1">
        <v>40553</v>
      </c>
      <c r="J129" t="s">
        <v>582</v>
      </c>
      <c r="K129" s="1">
        <v>41443</v>
      </c>
      <c r="L129" t="s">
        <v>48</v>
      </c>
      <c r="M129" t="s">
        <v>39</v>
      </c>
      <c r="N129" t="s">
        <v>29</v>
      </c>
      <c r="O129" t="s">
        <v>89</v>
      </c>
      <c r="P129">
        <v>18</v>
      </c>
      <c r="Q129" t="s">
        <v>111</v>
      </c>
      <c r="R129" t="s">
        <v>43</v>
      </c>
      <c r="S129">
        <v>5</v>
      </c>
      <c r="T129">
        <v>3</v>
      </c>
      <c r="U129" t="s">
        <v>566</v>
      </c>
      <c r="V129" s="1">
        <v>41304</v>
      </c>
      <c r="W129">
        <v>15</v>
      </c>
      <c r="X129" t="s">
        <v>583</v>
      </c>
    </row>
    <row r="130" spans="1:24" x14ac:dyDescent="0.25">
      <c r="A130" t="s">
        <v>282</v>
      </c>
      <c r="B130">
        <v>10167</v>
      </c>
      <c r="C130" t="s">
        <v>135</v>
      </c>
      <c r="D130" s="1">
        <v>32400</v>
      </c>
      <c r="E130" t="s">
        <v>23</v>
      </c>
      <c r="F130" t="s">
        <v>36</v>
      </c>
      <c r="G130" t="s">
        <v>25</v>
      </c>
      <c r="H130" t="s">
        <v>268</v>
      </c>
      <c r="I130" s="1">
        <v>41869</v>
      </c>
      <c r="J130" t="s">
        <v>584</v>
      </c>
      <c r="K130" s="1" t="s">
        <v>500</v>
      </c>
      <c r="L130" t="s">
        <v>27</v>
      </c>
      <c r="M130" t="s">
        <v>28</v>
      </c>
      <c r="N130" t="s">
        <v>136</v>
      </c>
      <c r="O130" t="s">
        <v>137</v>
      </c>
      <c r="P130">
        <v>17</v>
      </c>
      <c r="Q130" t="s">
        <v>42</v>
      </c>
      <c r="R130" t="s">
        <v>43</v>
      </c>
      <c r="S130">
        <v>3.6</v>
      </c>
      <c r="T130">
        <v>5</v>
      </c>
      <c r="U130" t="s">
        <v>564</v>
      </c>
      <c r="V130" s="1">
        <v>43495</v>
      </c>
      <c r="W130">
        <v>9</v>
      </c>
      <c r="X130" t="s">
        <v>586</v>
      </c>
    </row>
    <row r="131" spans="1:24" x14ac:dyDescent="0.25">
      <c r="A131" t="s">
        <v>283</v>
      </c>
      <c r="B131">
        <v>10195</v>
      </c>
      <c r="C131" t="s">
        <v>46</v>
      </c>
      <c r="D131" s="1">
        <v>30728</v>
      </c>
      <c r="E131" t="s">
        <v>47</v>
      </c>
      <c r="F131" t="s">
        <v>36</v>
      </c>
      <c r="G131" t="s">
        <v>163</v>
      </c>
      <c r="H131" t="s">
        <v>26</v>
      </c>
      <c r="I131" s="1">
        <v>40770</v>
      </c>
      <c r="J131" t="s">
        <v>582</v>
      </c>
      <c r="K131" s="1">
        <v>41006</v>
      </c>
      <c r="L131" t="s">
        <v>161</v>
      </c>
      <c r="M131" t="s">
        <v>39</v>
      </c>
      <c r="N131" t="s">
        <v>29</v>
      </c>
      <c r="O131" t="s">
        <v>30</v>
      </c>
      <c r="P131">
        <v>30</v>
      </c>
      <c r="Q131" t="s">
        <v>42</v>
      </c>
      <c r="R131" t="s">
        <v>43</v>
      </c>
      <c r="S131">
        <v>3.03</v>
      </c>
      <c r="T131">
        <v>5</v>
      </c>
      <c r="U131" t="s">
        <v>564</v>
      </c>
      <c r="V131" s="1">
        <v>40973</v>
      </c>
      <c r="W131">
        <v>16</v>
      </c>
      <c r="X131" t="s">
        <v>583</v>
      </c>
    </row>
    <row r="132" spans="1:24" x14ac:dyDescent="0.25">
      <c r="A132" t="s">
        <v>284</v>
      </c>
      <c r="B132">
        <v>10112</v>
      </c>
      <c r="C132" t="s">
        <v>101</v>
      </c>
      <c r="D132" s="1">
        <v>30733</v>
      </c>
      <c r="E132" t="s">
        <v>47</v>
      </c>
      <c r="F132" t="s">
        <v>24</v>
      </c>
      <c r="G132" t="s">
        <v>25</v>
      </c>
      <c r="H132" t="s">
        <v>26</v>
      </c>
      <c r="I132" s="1">
        <v>42093</v>
      </c>
      <c r="J132" t="s">
        <v>584</v>
      </c>
      <c r="K132" s="1" t="s">
        <v>500</v>
      </c>
      <c r="L132" t="s">
        <v>27</v>
      </c>
      <c r="M132" t="s">
        <v>28</v>
      </c>
      <c r="N132" t="s">
        <v>40</v>
      </c>
      <c r="O132" t="s">
        <v>41</v>
      </c>
      <c r="P132">
        <v>4</v>
      </c>
      <c r="Q132" t="s">
        <v>42</v>
      </c>
      <c r="R132" t="s">
        <v>43</v>
      </c>
      <c r="S132">
        <v>4.4800000000000004</v>
      </c>
      <c r="T132">
        <v>5</v>
      </c>
      <c r="U132" t="s">
        <v>564</v>
      </c>
      <c r="V132" s="1">
        <v>43468</v>
      </c>
      <c r="W132">
        <v>4</v>
      </c>
      <c r="X132" t="s">
        <v>586</v>
      </c>
    </row>
    <row r="133" spans="1:24" x14ac:dyDescent="0.25">
      <c r="A133" t="s">
        <v>285</v>
      </c>
      <c r="B133">
        <v>10272</v>
      </c>
      <c r="C133" t="s">
        <v>286</v>
      </c>
      <c r="D133" s="1">
        <v>24183</v>
      </c>
      <c r="E133" t="s">
        <v>47</v>
      </c>
      <c r="F133" t="s">
        <v>36</v>
      </c>
      <c r="G133" t="s">
        <v>25</v>
      </c>
      <c r="H133" t="s">
        <v>26</v>
      </c>
      <c r="I133" s="1">
        <v>41764</v>
      </c>
      <c r="J133" t="s">
        <v>584</v>
      </c>
      <c r="K133" s="1" t="s">
        <v>500</v>
      </c>
      <c r="L133" t="s">
        <v>27</v>
      </c>
      <c r="M133" t="s">
        <v>28</v>
      </c>
      <c r="N133" t="s">
        <v>136</v>
      </c>
      <c r="O133" t="s">
        <v>124</v>
      </c>
      <c r="P133">
        <v>2</v>
      </c>
      <c r="Q133" t="s">
        <v>31</v>
      </c>
      <c r="R133" t="s">
        <v>43</v>
      </c>
      <c r="S133">
        <v>4.5</v>
      </c>
      <c r="T133">
        <v>4</v>
      </c>
      <c r="U133" t="s">
        <v>565</v>
      </c>
      <c r="V133" s="1">
        <v>43486</v>
      </c>
      <c r="W133">
        <v>19</v>
      </c>
      <c r="X133" t="s">
        <v>586</v>
      </c>
    </row>
    <row r="134" spans="1:24" x14ac:dyDescent="0.25">
      <c r="A134" t="s">
        <v>287</v>
      </c>
      <c r="B134">
        <v>10182</v>
      </c>
      <c r="C134" t="s">
        <v>288</v>
      </c>
      <c r="D134" s="1">
        <v>31306</v>
      </c>
      <c r="E134" t="s">
        <v>47</v>
      </c>
      <c r="F134" t="s">
        <v>36</v>
      </c>
      <c r="G134" t="s">
        <v>25</v>
      </c>
      <c r="H134" t="s">
        <v>70</v>
      </c>
      <c r="I134" s="1">
        <v>42051</v>
      </c>
      <c r="J134" t="s">
        <v>584</v>
      </c>
      <c r="K134" s="1">
        <v>42109</v>
      </c>
      <c r="L134" t="s">
        <v>225</v>
      </c>
      <c r="M134" t="s">
        <v>95</v>
      </c>
      <c r="N134" t="s">
        <v>119</v>
      </c>
      <c r="O134" t="s">
        <v>120</v>
      </c>
      <c r="P134">
        <v>1</v>
      </c>
      <c r="Q134" t="s">
        <v>42</v>
      </c>
      <c r="R134" t="s">
        <v>43</v>
      </c>
      <c r="S134">
        <v>3.24</v>
      </c>
      <c r="T134">
        <v>3</v>
      </c>
      <c r="U134" t="s">
        <v>566</v>
      </c>
      <c r="V134" s="1">
        <v>42109</v>
      </c>
      <c r="W134">
        <v>6</v>
      </c>
      <c r="X134" t="s">
        <v>584</v>
      </c>
    </row>
    <row r="135" spans="1:24" x14ac:dyDescent="0.25">
      <c r="A135" t="s">
        <v>290</v>
      </c>
      <c r="B135">
        <v>10248</v>
      </c>
      <c r="C135" t="s">
        <v>22</v>
      </c>
      <c r="D135" s="1">
        <v>31573</v>
      </c>
      <c r="E135" t="s">
        <v>47</v>
      </c>
      <c r="F135" t="s">
        <v>24</v>
      </c>
      <c r="G135" t="s">
        <v>25</v>
      </c>
      <c r="H135" t="s">
        <v>26</v>
      </c>
      <c r="I135" s="1">
        <v>40959</v>
      </c>
      <c r="J135" t="s">
        <v>583</v>
      </c>
      <c r="K135" s="1" t="s">
        <v>500</v>
      </c>
      <c r="L135" t="s">
        <v>27</v>
      </c>
      <c r="M135" t="s">
        <v>28</v>
      </c>
      <c r="N135" t="s">
        <v>29</v>
      </c>
      <c r="O135" t="s">
        <v>66</v>
      </c>
      <c r="P135">
        <v>19</v>
      </c>
      <c r="Q135" t="s">
        <v>31</v>
      </c>
      <c r="R135" t="s">
        <v>43</v>
      </c>
      <c r="S135">
        <v>4.8</v>
      </c>
      <c r="T135">
        <v>4</v>
      </c>
      <c r="U135" t="s">
        <v>565</v>
      </c>
      <c r="V135" s="1">
        <v>43472</v>
      </c>
      <c r="W135">
        <v>4</v>
      </c>
      <c r="X135" t="s">
        <v>586</v>
      </c>
    </row>
    <row r="136" spans="1:24" x14ac:dyDescent="0.25">
      <c r="A136" t="s">
        <v>291</v>
      </c>
      <c r="B136">
        <v>10201</v>
      </c>
      <c r="C136" t="s">
        <v>46</v>
      </c>
      <c r="D136" s="1">
        <v>30752</v>
      </c>
      <c r="E136" t="s">
        <v>47</v>
      </c>
      <c r="F136" t="s">
        <v>24</v>
      </c>
      <c r="G136" t="s">
        <v>25</v>
      </c>
      <c r="H136" t="s">
        <v>26</v>
      </c>
      <c r="I136" s="1">
        <v>42527</v>
      </c>
      <c r="J136" t="s">
        <v>585</v>
      </c>
      <c r="K136" s="1" t="s">
        <v>500</v>
      </c>
      <c r="L136" t="s">
        <v>27</v>
      </c>
      <c r="M136" t="s">
        <v>28</v>
      </c>
      <c r="N136" t="s">
        <v>29</v>
      </c>
      <c r="O136" t="s">
        <v>52</v>
      </c>
      <c r="P136">
        <v>16</v>
      </c>
      <c r="Q136" t="s">
        <v>31</v>
      </c>
      <c r="R136" t="s">
        <v>43</v>
      </c>
      <c r="S136">
        <v>3</v>
      </c>
      <c r="T136">
        <v>5</v>
      </c>
      <c r="U136" t="s">
        <v>564</v>
      </c>
      <c r="V136" s="1">
        <v>43483</v>
      </c>
      <c r="W136">
        <v>4</v>
      </c>
      <c r="X136" t="s">
        <v>586</v>
      </c>
    </row>
    <row r="137" spans="1:24" x14ac:dyDescent="0.25">
      <c r="A137" t="s">
        <v>292</v>
      </c>
      <c r="B137">
        <v>10214</v>
      </c>
      <c r="C137" t="s">
        <v>46</v>
      </c>
      <c r="D137" s="1">
        <v>33731</v>
      </c>
      <c r="E137" t="s">
        <v>47</v>
      </c>
      <c r="F137" t="s">
        <v>132</v>
      </c>
      <c r="G137" t="s">
        <v>25</v>
      </c>
      <c r="H137" t="s">
        <v>26</v>
      </c>
      <c r="I137" s="1">
        <v>42160</v>
      </c>
      <c r="J137" t="s">
        <v>584</v>
      </c>
      <c r="K137" s="1" t="s">
        <v>500</v>
      </c>
      <c r="L137" t="s">
        <v>27</v>
      </c>
      <c r="M137" t="s">
        <v>28</v>
      </c>
      <c r="N137" t="s">
        <v>29</v>
      </c>
      <c r="O137" t="s">
        <v>56</v>
      </c>
      <c r="Q137" t="s">
        <v>42</v>
      </c>
      <c r="R137" t="s">
        <v>43</v>
      </c>
      <c r="S137">
        <v>4.5</v>
      </c>
      <c r="T137">
        <v>3</v>
      </c>
      <c r="U137" t="s">
        <v>566</v>
      </c>
      <c r="V137" s="1">
        <v>43510</v>
      </c>
      <c r="W137">
        <v>6</v>
      </c>
      <c r="X137" t="s">
        <v>586</v>
      </c>
    </row>
    <row r="138" spans="1:24" x14ac:dyDescent="0.25">
      <c r="A138" t="s">
        <v>293</v>
      </c>
      <c r="B138">
        <v>10160</v>
      </c>
      <c r="C138" t="s">
        <v>46</v>
      </c>
      <c r="D138" s="1">
        <v>28025</v>
      </c>
      <c r="E138" t="s">
        <v>47</v>
      </c>
      <c r="F138" t="s">
        <v>54</v>
      </c>
      <c r="G138" t="s">
        <v>25</v>
      </c>
      <c r="H138" t="s">
        <v>26</v>
      </c>
      <c r="I138" s="1">
        <v>40595</v>
      </c>
      <c r="J138" t="s">
        <v>582</v>
      </c>
      <c r="K138" s="1">
        <v>41365</v>
      </c>
      <c r="L138" t="s">
        <v>83</v>
      </c>
      <c r="M138" t="s">
        <v>39</v>
      </c>
      <c r="N138" t="s">
        <v>29</v>
      </c>
      <c r="O138" t="s">
        <v>59</v>
      </c>
      <c r="P138">
        <v>11</v>
      </c>
      <c r="Q138" t="s">
        <v>57</v>
      </c>
      <c r="R138" t="s">
        <v>43</v>
      </c>
      <c r="S138">
        <v>3.72</v>
      </c>
      <c r="T138">
        <v>3</v>
      </c>
      <c r="U138" t="s">
        <v>566</v>
      </c>
      <c r="V138" s="1">
        <v>41306</v>
      </c>
      <c r="W138">
        <v>18</v>
      </c>
      <c r="X138" t="s">
        <v>583</v>
      </c>
    </row>
    <row r="139" spans="1:24" x14ac:dyDescent="0.25">
      <c r="A139" t="s">
        <v>294</v>
      </c>
      <c r="B139">
        <v>10289</v>
      </c>
      <c r="C139" t="s">
        <v>122</v>
      </c>
      <c r="D139" s="1">
        <v>27774</v>
      </c>
      <c r="E139" t="s">
        <v>23</v>
      </c>
      <c r="F139" t="s">
        <v>36</v>
      </c>
      <c r="G139" t="s">
        <v>25</v>
      </c>
      <c r="H139" t="s">
        <v>105</v>
      </c>
      <c r="I139" s="1">
        <v>40595</v>
      </c>
      <c r="J139" t="s">
        <v>582</v>
      </c>
      <c r="K139" s="1">
        <v>41176</v>
      </c>
      <c r="L139" t="s">
        <v>83</v>
      </c>
      <c r="M139" t="s">
        <v>39</v>
      </c>
      <c r="N139" t="s">
        <v>29</v>
      </c>
      <c r="O139" t="s">
        <v>124</v>
      </c>
      <c r="P139">
        <v>2</v>
      </c>
      <c r="Q139" t="s">
        <v>42</v>
      </c>
      <c r="R139" t="s">
        <v>112</v>
      </c>
      <c r="S139">
        <v>2.34</v>
      </c>
      <c r="T139">
        <v>2</v>
      </c>
      <c r="U139" t="s">
        <v>568</v>
      </c>
      <c r="V139" s="1">
        <v>41011</v>
      </c>
      <c r="W139">
        <v>4</v>
      </c>
      <c r="X139" t="s">
        <v>583</v>
      </c>
    </row>
    <row r="140" spans="1:24" x14ac:dyDescent="0.25">
      <c r="A140" t="s">
        <v>295</v>
      </c>
      <c r="B140">
        <v>10139</v>
      </c>
      <c r="C140" t="s">
        <v>22</v>
      </c>
      <c r="D140" s="1">
        <v>33266</v>
      </c>
      <c r="E140" t="s">
        <v>47</v>
      </c>
      <c r="F140" t="s">
        <v>24</v>
      </c>
      <c r="G140" t="s">
        <v>25</v>
      </c>
      <c r="H140" t="s">
        <v>26</v>
      </c>
      <c r="I140" s="1">
        <v>41505</v>
      </c>
      <c r="J140" t="s">
        <v>583</v>
      </c>
      <c r="K140" s="1" t="s">
        <v>500</v>
      </c>
      <c r="L140" t="s">
        <v>27</v>
      </c>
      <c r="M140" t="s">
        <v>28</v>
      </c>
      <c r="N140" t="s">
        <v>29</v>
      </c>
      <c r="O140" t="s">
        <v>71</v>
      </c>
      <c r="P140">
        <v>12</v>
      </c>
      <c r="Q140" t="s">
        <v>42</v>
      </c>
      <c r="R140" t="s">
        <v>43</v>
      </c>
      <c r="S140">
        <v>3.99</v>
      </c>
      <c r="T140">
        <v>3</v>
      </c>
      <c r="U140" t="s">
        <v>566</v>
      </c>
      <c r="V140" s="1">
        <v>43479</v>
      </c>
      <c r="W140">
        <v>14</v>
      </c>
      <c r="X140" t="s">
        <v>586</v>
      </c>
    </row>
    <row r="141" spans="1:24" x14ac:dyDescent="0.25">
      <c r="A141" t="s">
        <v>296</v>
      </c>
      <c r="B141">
        <v>10227</v>
      </c>
      <c r="C141" t="s">
        <v>22</v>
      </c>
      <c r="D141" s="1">
        <v>26553</v>
      </c>
      <c r="E141" t="s">
        <v>47</v>
      </c>
      <c r="F141" t="s">
        <v>24</v>
      </c>
      <c r="G141" t="s">
        <v>25</v>
      </c>
      <c r="H141" t="s">
        <v>70</v>
      </c>
      <c r="I141" s="1">
        <v>40913</v>
      </c>
      <c r="J141" t="s">
        <v>583</v>
      </c>
      <c r="K141" s="1" t="s">
        <v>500</v>
      </c>
      <c r="L141" t="s">
        <v>27</v>
      </c>
      <c r="M141" t="s">
        <v>28</v>
      </c>
      <c r="N141" t="s">
        <v>29</v>
      </c>
      <c r="O141" t="s">
        <v>80</v>
      </c>
      <c r="P141">
        <v>14</v>
      </c>
      <c r="Q141" t="s">
        <v>31</v>
      </c>
      <c r="R141" t="s">
        <v>43</v>
      </c>
      <c r="S141">
        <v>4.0999999999999996</v>
      </c>
      <c r="T141">
        <v>3</v>
      </c>
      <c r="U141" t="s">
        <v>566</v>
      </c>
      <c r="V141" s="1">
        <v>43482</v>
      </c>
      <c r="W141">
        <v>7</v>
      </c>
      <c r="X141" t="s">
        <v>586</v>
      </c>
    </row>
    <row r="142" spans="1:24" x14ac:dyDescent="0.25">
      <c r="A142" t="s">
        <v>297</v>
      </c>
      <c r="B142">
        <v>10236</v>
      </c>
      <c r="C142" t="s">
        <v>22</v>
      </c>
      <c r="D142" s="1">
        <v>24188</v>
      </c>
      <c r="E142" t="s">
        <v>47</v>
      </c>
      <c r="F142" t="s">
        <v>54</v>
      </c>
      <c r="G142" t="s">
        <v>25</v>
      </c>
      <c r="H142" t="s">
        <v>26</v>
      </c>
      <c r="I142" s="1">
        <v>41547</v>
      </c>
      <c r="J142" t="s">
        <v>583</v>
      </c>
      <c r="K142" s="1" t="s">
        <v>500</v>
      </c>
      <c r="L142" t="s">
        <v>27</v>
      </c>
      <c r="M142" t="s">
        <v>28</v>
      </c>
      <c r="N142" t="s">
        <v>29</v>
      </c>
      <c r="O142" t="s">
        <v>49</v>
      </c>
      <c r="P142">
        <v>20</v>
      </c>
      <c r="Q142" t="s">
        <v>67</v>
      </c>
      <c r="R142" t="s">
        <v>43</v>
      </c>
      <c r="S142">
        <v>4.3</v>
      </c>
      <c r="T142">
        <v>5</v>
      </c>
      <c r="U142" t="s">
        <v>564</v>
      </c>
      <c r="V142" s="1">
        <v>43518</v>
      </c>
      <c r="W142">
        <v>7</v>
      </c>
      <c r="X142" t="s">
        <v>586</v>
      </c>
    </row>
    <row r="143" spans="1:24" x14ac:dyDescent="0.25">
      <c r="A143" t="s">
        <v>298</v>
      </c>
      <c r="B143">
        <v>10009</v>
      </c>
      <c r="C143" t="s">
        <v>46</v>
      </c>
      <c r="D143" s="1">
        <v>31418</v>
      </c>
      <c r="E143" t="s">
        <v>47</v>
      </c>
      <c r="F143" t="s">
        <v>54</v>
      </c>
      <c r="G143" t="s">
        <v>25</v>
      </c>
      <c r="H143" t="s">
        <v>268</v>
      </c>
      <c r="I143" s="1">
        <v>40729</v>
      </c>
      <c r="J143" t="s">
        <v>582</v>
      </c>
      <c r="K143" s="1" t="s">
        <v>500</v>
      </c>
      <c r="L143" t="s">
        <v>27</v>
      </c>
      <c r="M143" t="s">
        <v>28</v>
      </c>
      <c r="N143" t="s">
        <v>29</v>
      </c>
      <c r="O143" t="s">
        <v>66</v>
      </c>
      <c r="P143">
        <v>19</v>
      </c>
      <c r="Q143" t="s">
        <v>31</v>
      </c>
      <c r="R143" t="s">
        <v>32</v>
      </c>
      <c r="S143">
        <v>4.5999999999999996</v>
      </c>
      <c r="T143">
        <v>4</v>
      </c>
      <c r="U143" t="s">
        <v>565</v>
      </c>
      <c r="V143" s="1">
        <v>43521</v>
      </c>
      <c r="W143">
        <v>11</v>
      </c>
      <c r="X143" t="s">
        <v>586</v>
      </c>
    </row>
    <row r="144" spans="1:24" x14ac:dyDescent="0.25">
      <c r="A144" t="s">
        <v>299</v>
      </c>
      <c r="B144">
        <v>10060</v>
      </c>
      <c r="C144" t="s">
        <v>22</v>
      </c>
      <c r="D144" s="1">
        <v>23480</v>
      </c>
      <c r="E144" t="s">
        <v>47</v>
      </c>
      <c r="F144" t="s">
        <v>132</v>
      </c>
      <c r="G144" t="s">
        <v>25</v>
      </c>
      <c r="H144" t="s">
        <v>26</v>
      </c>
      <c r="I144" s="1">
        <v>41645</v>
      </c>
      <c r="J144" t="s">
        <v>584</v>
      </c>
      <c r="K144" s="1" t="s">
        <v>500</v>
      </c>
      <c r="L144" t="s">
        <v>27</v>
      </c>
      <c r="M144" t="s">
        <v>28</v>
      </c>
      <c r="N144" t="s">
        <v>29</v>
      </c>
      <c r="O144" t="s">
        <v>89</v>
      </c>
      <c r="P144">
        <v>18</v>
      </c>
      <c r="Q144" t="s">
        <v>31</v>
      </c>
      <c r="R144" t="s">
        <v>43</v>
      </c>
      <c r="S144">
        <v>5</v>
      </c>
      <c r="T144">
        <v>5</v>
      </c>
      <c r="U144" t="s">
        <v>564</v>
      </c>
      <c r="V144" s="1">
        <v>43486</v>
      </c>
      <c r="W144">
        <v>9</v>
      </c>
      <c r="X144" t="s">
        <v>586</v>
      </c>
    </row>
    <row r="145" spans="1:24" x14ac:dyDescent="0.25">
      <c r="A145" t="s">
        <v>300</v>
      </c>
      <c r="B145">
        <v>10034</v>
      </c>
      <c r="C145" t="s">
        <v>22</v>
      </c>
      <c r="D145" s="1">
        <v>21781</v>
      </c>
      <c r="E145" t="s">
        <v>23</v>
      </c>
      <c r="F145" t="s">
        <v>36</v>
      </c>
      <c r="G145" t="s">
        <v>25</v>
      </c>
      <c r="H145" t="s">
        <v>26</v>
      </c>
      <c r="I145" s="1">
        <v>40550</v>
      </c>
      <c r="J145" t="s">
        <v>582</v>
      </c>
      <c r="K145" s="1">
        <v>43219</v>
      </c>
      <c r="L145" t="s">
        <v>196</v>
      </c>
      <c r="M145" t="s">
        <v>39</v>
      </c>
      <c r="N145" t="s">
        <v>29</v>
      </c>
      <c r="O145" t="s">
        <v>30</v>
      </c>
      <c r="P145">
        <v>22</v>
      </c>
      <c r="Q145" t="s">
        <v>111</v>
      </c>
      <c r="R145" t="s">
        <v>32</v>
      </c>
      <c r="S145">
        <v>4.7</v>
      </c>
      <c r="T145">
        <v>4</v>
      </c>
      <c r="U145" t="s">
        <v>565</v>
      </c>
      <c r="V145" s="1">
        <v>43145</v>
      </c>
      <c r="W145">
        <v>9</v>
      </c>
      <c r="X145" t="s">
        <v>586</v>
      </c>
    </row>
    <row r="146" spans="1:24" x14ac:dyDescent="0.25">
      <c r="A146" t="s">
        <v>302</v>
      </c>
      <c r="B146">
        <v>10156</v>
      </c>
      <c r="C146" t="s">
        <v>101</v>
      </c>
      <c r="D146" s="1">
        <v>31419</v>
      </c>
      <c r="E146" t="s">
        <v>47</v>
      </c>
      <c r="F146" t="s">
        <v>36</v>
      </c>
      <c r="G146" t="s">
        <v>25</v>
      </c>
      <c r="H146" t="s">
        <v>105</v>
      </c>
      <c r="I146" s="1">
        <v>42009</v>
      </c>
      <c r="J146" t="s">
        <v>584</v>
      </c>
      <c r="K146" s="1" t="s">
        <v>500</v>
      </c>
      <c r="L146" t="s">
        <v>27</v>
      </c>
      <c r="M146" t="s">
        <v>28</v>
      </c>
      <c r="N146" t="s">
        <v>40</v>
      </c>
      <c r="O146" t="s">
        <v>41</v>
      </c>
      <c r="P146">
        <v>4</v>
      </c>
      <c r="Q146" t="s">
        <v>42</v>
      </c>
      <c r="R146" t="s">
        <v>43</v>
      </c>
      <c r="S146">
        <v>3.75</v>
      </c>
      <c r="T146">
        <v>3</v>
      </c>
      <c r="U146" t="s">
        <v>566</v>
      </c>
      <c r="V146" s="1">
        <v>43507</v>
      </c>
      <c r="W146">
        <v>2</v>
      </c>
      <c r="X146" t="s">
        <v>586</v>
      </c>
    </row>
    <row r="147" spans="1:24" x14ac:dyDescent="0.25">
      <c r="A147" t="s">
        <v>303</v>
      </c>
      <c r="B147">
        <v>10036</v>
      </c>
      <c r="C147" t="s">
        <v>46</v>
      </c>
      <c r="D147" s="1">
        <v>25454</v>
      </c>
      <c r="E147" t="s">
        <v>47</v>
      </c>
      <c r="F147" t="s">
        <v>24</v>
      </c>
      <c r="G147" t="s">
        <v>25</v>
      </c>
      <c r="H147" t="s">
        <v>26</v>
      </c>
      <c r="I147" s="1">
        <v>41827</v>
      </c>
      <c r="J147" t="s">
        <v>584</v>
      </c>
      <c r="K147" s="1" t="s">
        <v>500</v>
      </c>
      <c r="L147" t="s">
        <v>27</v>
      </c>
      <c r="M147" t="s">
        <v>28</v>
      </c>
      <c r="N147" t="s">
        <v>29</v>
      </c>
      <c r="O147" t="s">
        <v>71</v>
      </c>
      <c r="P147">
        <v>12</v>
      </c>
      <c r="Q147" t="s">
        <v>31</v>
      </c>
      <c r="R147" t="s">
        <v>32</v>
      </c>
      <c r="S147">
        <v>4.3</v>
      </c>
      <c r="T147">
        <v>3</v>
      </c>
      <c r="U147" t="s">
        <v>566</v>
      </c>
      <c r="V147" s="1">
        <v>43476</v>
      </c>
      <c r="W147">
        <v>1</v>
      </c>
      <c r="X147" t="s">
        <v>586</v>
      </c>
    </row>
    <row r="148" spans="1:24" x14ac:dyDescent="0.25">
      <c r="A148" t="s">
        <v>304</v>
      </c>
      <c r="B148">
        <v>10138</v>
      </c>
      <c r="C148" t="s">
        <v>22</v>
      </c>
      <c r="D148" s="1">
        <v>31519</v>
      </c>
      <c r="E148" t="s">
        <v>47</v>
      </c>
      <c r="F148" t="s">
        <v>36</v>
      </c>
      <c r="G148" t="s">
        <v>25</v>
      </c>
      <c r="H148" t="s">
        <v>70</v>
      </c>
      <c r="I148" s="1">
        <v>40553</v>
      </c>
      <c r="J148" t="s">
        <v>582</v>
      </c>
      <c r="K148" s="1">
        <v>42461</v>
      </c>
      <c r="L148" t="s">
        <v>83</v>
      </c>
      <c r="M148" t="s">
        <v>39</v>
      </c>
      <c r="N148" t="s">
        <v>29</v>
      </c>
      <c r="O148" t="s">
        <v>52</v>
      </c>
      <c r="P148">
        <v>16</v>
      </c>
      <c r="Q148" t="s">
        <v>111</v>
      </c>
      <c r="R148" t="s">
        <v>43</v>
      </c>
      <c r="S148">
        <v>4</v>
      </c>
      <c r="T148">
        <v>4</v>
      </c>
      <c r="U148" t="s">
        <v>565</v>
      </c>
      <c r="V148" s="1">
        <v>42403</v>
      </c>
      <c r="W148">
        <v>4</v>
      </c>
      <c r="X148" t="s">
        <v>585</v>
      </c>
    </row>
    <row r="149" spans="1:24" x14ac:dyDescent="0.25">
      <c r="A149" t="s">
        <v>305</v>
      </c>
      <c r="B149">
        <v>10244</v>
      </c>
      <c r="C149" t="s">
        <v>183</v>
      </c>
      <c r="D149" s="1">
        <v>32519</v>
      </c>
      <c r="E149" t="s">
        <v>47</v>
      </c>
      <c r="F149" t="s">
        <v>24</v>
      </c>
      <c r="G149" t="s">
        <v>25</v>
      </c>
      <c r="H149" t="s">
        <v>26</v>
      </c>
      <c r="I149" s="1">
        <v>40550</v>
      </c>
      <c r="J149" t="s">
        <v>582</v>
      </c>
      <c r="K149" s="1">
        <v>41753</v>
      </c>
      <c r="L149" t="s">
        <v>306</v>
      </c>
      <c r="M149" t="s">
        <v>39</v>
      </c>
      <c r="N149" t="s">
        <v>136</v>
      </c>
      <c r="O149" t="s">
        <v>184</v>
      </c>
      <c r="P149">
        <v>15</v>
      </c>
      <c r="Q149" t="s">
        <v>57</v>
      </c>
      <c r="R149" t="s">
        <v>43</v>
      </c>
      <c r="S149">
        <v>4.5</v>
      </c>
      <c r="T149">
        <v>5</v>
      </c>
      <c r="U149" t="s">
        <v>564</v>
      </c>
      <c r="V149" s="1">
        <v>41363</v>
      </c>
      <c r="W149">
        <v>2</v>
      </c>
      <c r="X149" t="s">
        <v>583</v>
      </c>
    </row>
    <row r="150" spans="1:24" x14ac:dyDescent="0.25">
      <c r="A150" t="s">
        <v>308</v>
      </c>
      <c r="B150">
        <v>10192</v>
      </c>
      <c r="C150" t="s">
        <v>22</v>
      </c>
      <c r="D150" s="1">
        <v>27778</v>
      </c>
      <c r="E150" t="s">
        <v>23</v>
      </c>
      <c r="F150" t="s">
        <v>24</v>
      </c>
      <c r="G150" t="s">
        <v>25</v>
      </c>
      <c r="H150" t="s">
        <v>26</v>
      </c>
      <c r="I150" s="1">
        <v>41547</v>
      </c>
      <c r="J150" t="s">
        <v>583</v>
      </c>
      <c r="K150" s="1" t="s">
        <v>500</v>
      </c>
      <c r="L150" t="s">
        <v>27</v>
      </c>
      <c r="M150" t="s">
        <v>28</v>
      </c>
      <c r="N150" t="s">
        <v>29</v>
      </c>
      <c r="O150" t="s">
        <v>30</v>
      </c>
      <c r="P150">
        <v>22</v>
      </c>
      <c r="Q150" t="s">
        <v>42</v>
      </c>
      <c r="R150" t="s">
        <v>43</v>
      </c>
      <c r="S150">
        <v>3.07</v>
      </c>
      <c r="T150">
        <v>4</v>
      </c>
      <c r="U150" t="s">
        <v>565</v>
      </c>
      <c r="V150" s="1">
        <v>43488</v>
      </c>
      <c r="W150">
        <v>10</v>
      </c>
      <c r="X150" t="s">
        <v>586</v>
      </c>
    </row>
    <row r="151" spans="1:24" x14ac:dyDescent="0.25">
      <c r="A151" t="s">
        <v>309</v>
      </c>
      <c r="B151">
        <v>10231</v>
      </c>
      <c r="C151" t="s">
        <v>135</v>
      </c>
      <c r="D151" s="1">
        <v>28882</v>
      </c>
      <c r="E151" t="s">
        <v>23</v>
      </c>
      <c r="F151" t="s">
        <v>24</v>
      </c>
      <c r="G151" t="s">
        <v>25</v>
      </c>
      <c r="H151" t="s">
        <v>26</v>
      </c>
      <c r="I151" s="1">
        <v>41505</v>
      </c>
      <c r="J151" t="s">
        <v>583</v>
      </c>
      <c r="K151" s="1" t="s">
        <v>500</v>
      </c>
      <c r="L151" t="s">
        <v>27</v>
      </c>
      <c r="M151" t="s">
        <v>28</v>
      </c>
      <c r="N151" t="s">
        <v>136</v>
      </c>
      <c r="O151" t="s">
        <v>158</v>
      </c>
      <c r="P151">
        <v>21</v>
      </c>
      <c r="Q151" t="s">
        <v>42</v>
      </c>
      <c r="R151" t="s">
        <v>43</v>
      </c>
      <c r="S151">
        <v>4.3</v>
      </c>
      <c r="T151">
        <v>5</v>
      </c>
      <c r="U151" t="s">
        <v>564</v>
      </c>
      <c r="V151" s="1">
        <v>43487</v>
      </c>
      <c r="W151">
        <v>13</v>
      </c>
      <c r="X151" t="s">
        <v>586</v>
      </c>
    </row>
    <row r="152" spans="1:24" x14ac:dyDescent="0.25">
      <c r="A152" t="s">
        <v>310</v>
      </c>
      <c r="B152">
        <v>10089</v>
      </c>
      <c r="C152" t="s">
        <v>311</v>
      </c>
      <c r="D152" s="1">
        <v>19988</v>
      </c>
      <c r="E152" t="s">
        <v>47</v>
      </c>
      <c r="F152" t="s">
        <v>36</v>
      </c>
      <c r="G152" t="s">
        <v>25</v>
      </c>
      <c r="H152" t="s">
        <v>26</v>
      </c>
      <c r="I152" s="1">
        <v>41092</v>
      </c>
      <c r="J152" t="s">
        <v>583</v>
      </c>
      <c r="K152" s="1" t="s">
        <v>500</v>
      </c>
      <c r="L152" t="s">
        <v>27</v>
      </c>
      <c r="M152" t="s">
        <v>28</v>
      </c>
      <c r="N152" t="s">
        <v>312</v>
      </c>
      <c r="O152" t="s">
        <v>242</v>
      </c>
      <c r="P152">
        <v>9</v>
      </c>
      <c r="Q152" t="s">
        <v>42</v>
      </c>
      <c r="R152" t="s">
        <v>43</v>
      </c>
      <c r="S152">
        <v>4.83</v>
      </c>
      <c r="T152">
        <v>3</v>
      </c>
      <c r="U152" t="s">
        <v>566</v>
      </c>
      <c r="V152" s="1">
        <v>43482</v>
      </c>
      <c r="W152">
        <v>10</v>
      </c>
      <c r="X152" t="s">
        <v>586</v>
      </c>
    </row>
    <row r="153" spans="1:24" x14ac:dyDescent="0.25">
      <c r="A153" t="s">
        <v>313</v>
      </c>
      <c r="B153">
        <v>10166</v>
      </c>
      <c r="C153" t="s">
        <v>22</v>
      </c>
      <c r="D153" s="1">
        <v>26703</v>
      </c>
      <c r="E153" t="s">
        <v>47</v>
      </c>
      <c r="F153" t="s">
        <v>36</v>
      </c>
      <c r="G153" t="s">
        <v>25</v>
      </c>
      <c r="H153" t="s">
        <v>26</v>
      </c>
      <c r="I153" s="1">
        <v>40812</v>
      </c>
      <c r="J153" t="s">
        <v>582</v>
      </c>
      <c r="K153" s="1">
        <v>42159</v>
      </c>
      <c r="L153" t="s">
        <v>196</v>
      </c>
      <c r="M153" t="s">
        <v>39</v>
      </c>
      <c r="N153" t="s">
        <v>29</v>
      </c>
      <c r="O153" t="s">
        <v>56</v>
      </c>
      <c r="P153">
        <v>39</v>
      </c>
      <c r="Q153" t="s">
        <v>57</v>
      </c>
      <c r="R153" t="s">
        <v>43</v>
      </c>
      <c r="S153">
        <v>3.6</v>
      </c>
      <c r="T153">
        <v>5</v>
      </c>
      <c r="U153" t="s">
        <v>564</v>
      </c>
      <c r="V153" s="1">
        <v>42064</v>
      </c>
      <c r="W153">
        <v>16</v>
      </c>
      <c r="X153" t="s">
        <v>584</v>
      </c>
    </row>
    <row r="154" spans="1:24" x14ac:dyDescent="0.25">
      <c r="A154" t="s">
        <v>314</v>
      </c>
      <c r="B154">
        <v>10170</v>
      </c>
      <c r="C154" t="s">
        <v>22</v>
      </c>
      <c r="D154" s="1">
        <v>25849</v>
      </c>
      <c r="E154" t="s">
        <v>47</v>
      </c>
      <c r="F154" t="s">
        <v>36</v>
      </c>
      <c r="G154" t="s">
        <v>25</v>
      </c>
      <c r="H154" t="s">
        <v>26</v>
      </c>
      <c r="I154" s="1">
        <v>40812</v>
      </c>
      <c r="J154" t="s">
        <v>582</v>
      </c>
      <c r="K154" s="1">
        <v>41648</v>
      </c>
      <c r="L154" t="s">
        <v>196</v>
      </c>
      <c r="M154" t="s">
        <v>39</v>
      </c>
      <c r="N154" t="s">
        <v>29</v>
      </c>
      <c r="O154" t="s">
        <v>59</v>
      </c>
      <c r="P154">
        <v>11</v>
      </c>
      <c r="Q154" t="s">
        <v>57</v>
      </c>
      <c r="R154" t="s">
        <v>43</v>
      </c>
      <c r="S154">
        <v>3.49</v>
      </c>
      <c r="T154">
        <v>4</v>
      </c>
      <c r="U154" t="s">
        <v>565</v>
      </c>
      <c r="V154" s="1">
        <v>41304</v>
      </c>
      <c r="W154">
        <v>6</v>
      </c>
      <c r="X154" t="s">
        <v>583</v>
      </c>
    </row>
    <row r="155" spans="1:24" x14ac:dyDescent="0.25">
      <c r="A155" t="s">
        <v>315</v>
      </c>
      <c r="B155">
        <v>10208</v>
      </c>
      <c r="C155" t="s">
        <v>22</v>
      </c>
      <c r="D155" s="1">
        <v>28135</v>
      </c>
      <c r="E155" t="s">
        <v>23</v>
      </c>
      <c r="F155" t="s">
        <v>24</v>
      </c>
      <c r="G155" t="s">
        <v>25</v>
      </c>
      <c r="H155" t="s">
        <v>70</v>
      </c>
      <c r="I155" s="1">
        <v>41687</v>
      </c>
      <c r="J155" t="s">
        <v>584</v>
      </c>
      <c r="K155" s="1" t="s">
        <v>500</v>
      </c>
      <c r="L155" t="s">
        <v>27</v>
      </c>
      <c r="M155" t="s">
        <v>28</v>
      </c>
      <c r="N155" t="s">
        <v>29</v>
      </c>
      <c r="O155" t="s">
        <v>66</v>
      </c>
      <c r="P155">
        <v>19</v>
      </c>
      <c r="Q155" t="s">
        <v>31</v>
      </c>
      <c r="R155" t="s">
        <v>43</v>
      </c>
      <c r="S155">
        <v>3.1</v>
      </c>
      <c r="T155">
        <v>3</v>
      </c>
      <c r="U155" t="s">
        <v>566</v>
      </c>
      <c r="V155" s="1">
        <v>43502</v>
      </c>
      <c r="W155">
        <v>3</v>
      </c>
      <c r="X155" t="s">
        <v>586</v>
      </c>
    </row>
    <row r="156" spans="1:24" x14ac:dyDescent="0.25">
      <c r="A156" t="s">
        <v>316</v>
      </c>
      <c r="B156">
        <v>10176</v>
      </c>
      <c r="C156" t="s">
        <v>22</v>
      </c>
      <c r="D156" s="1">
        <v>29253</v>
      </c>
      <c r="E156" t="s">
        <v>23</v>
      </c>
      <c r="F156" t="s">
        <v>36</v>
      </c>
      <c r="G156" t="s">
        <v>25</v>
      </c>
      <c r="H156" t="s">
        <v>105</v>
      </c>
      <c r="I156" s="1">
        <v>40553</v>
      </c>
      <c r="J156" t="s">
        <v>582</v>
      </c>
      <c r="K156" s="1" t="s">
        <v>500</v>
      </c>
      <c r="L156" t="s">
        <v>27</v>
      </c>
      <c r="M156" t="s">
        <v>28</v>
      </c>
      <c r="N156" t="s">
        <v>29</v>
      </c>
      <c r="O156" t="s">
        <v>71</v>
      </c>
      <c r="P156">
        <v>12</v>
      </c>
      <c r="Q156" t="s">
        <v>42</v>
      </c>
      <c r="R156" t="s">
        <v>43</v>
      </c>
      <c r="S156">
        <v>3.38</v>
      </c>
      <c r="T156">
        <v>3</v>
      </c>
      <c r="U156" t="s">
        <v>566</v>
      </c>
      <c r="V156" s="1">
        <v>43486</v>
      </c>
      <c r="W156">
        <v>17</v>
      </c>
      <c r="X156" t="s">
        <v>586</v>
      </c>
    </row>
    <row r="157" spans="1:24" x14ac:dyDescent="0.25">
      <c r="A157" t="s">
        <v>317</v>
      </c>
      <c r="B157">
        <v>10165</v>
      </c>
      <c r="C157" t="s">
        <v>135</v>
      </c>
      <c r="D157" s="1">
        <v>25258</v>
      </c>
      <c r="E157" t="s">
        <v>23</v>
      </c>
      <c r="F157" t="s">
        <v>24</v>
      </c>
      <c r="G157" t="s">
        <v>25</v>
      </c>
      <c r="H157" t="s">
        <v>70</v>
      </c>
      <c r="I157" s="1">
        <v>40609</v>
      </c>
      <c r="J157" t="s">
        <v>582</v>
      </c>
      <c r="K157" s="1" t="s">
        <v>500</v>
      </c>
      <c r="L157" t="s">
        <v>27</v>
      </c>
      <c r="M157" t="s">
        <v>28</v>
      </c>
      <c r="N157" t="s">
        <v>136</v>
      </c>
      <c r="O157" t="s">
        <v>137</v>
      </c>
      <c r="P157">
        <v>17</v>
      </c>
      <c r="Q157" t="s">
        <v>72</v>
      </c>
      <c r="R157" t="s">
        <v>43</v>
      </c>
      <c r="S157">
        <v>3.65</v>
      </c>
      <c r="T157">
        <v>5</v>
      </c>
      <c r="U157" t="s">
        <v>564</v>
      </c>
      <c r="V157" s="1">
        <v>43482</v>
      </c>
      <c r="W157">
        <v>20</v>
      </c>
      <c r="X157" t="s">
        <v>586</v>
      </c>
    </row>
    <row r="158" spans="1:24" x14ac:dyDescent="0.25">
      <c r="A158" t="s">
        <v>318</v>
      </c>
      <c r="B158">
        <v>10113</v>
      </c>
      <c r="C158" t="s">
        <v>181</v>
      </c>
      <c r="D158" s="1">
        <v>31525</v>
      </c>
      <c r="E158" t="s">
        <v>23</v>
      </c>
      <c r="F158" t="s">
        <v>36</v>
      </c>
      <c r="G158" t="s">
        <v>25</v>
      </c>
      <c r="H158" t="s">
        <v>26</v>
      </c>
      <c r="I158" s="1">
        <v>41649</v>
      </c>
      <c r="J158" t="s">
        <v>584</v>
      </c>
      <c r="K158" s="1" t="s">
        <v>500</v>
      </c>
      <c r="L158" t="s">
        <v>27</v>
      </c>
      <c r="M158" t="s">
        <v>28</v>
      </c>
      <c r="N158" t="s">
        <v>40</v>
      </c>
      <c r="O158" t="s">
        <v>76</v>
      </c>
      <c r="P158">
        <v>7</v>
      </c>
      <c r="Q158" t="s">
        <v>67</v>
      </c>
      <c r="R158" t="s">
        <v>43</v>
      </c>
      <c r="S158">
        <v>4.46</v>
      </c>
      <c r="T158">
        <v>5</v>
      </c>
      <c r="U158" t="s">
        <v>564</v>
      </c>
      <c r="V158" s="1">
        <v>43472</v>
      </c>
      <c r="W158">
        <v>7</v>
      </c>
      <c r="X158" t="s">
        <v>586</v>
      </c>
    </row>
    <row r="159" spans="1:24" x14ac:dyDescent="0.25">
      <c r="A159" t="s">
        <v>319</v>
      </c>
      <c r="B159">
        <v>10092</v>
      </c>
      <c r="C159" t="s">
        <v>122</v>
      </c>
      <c r="D159" s="1">
        <v>26481</v>
      </c>
      <c r="E159" t="s">
        <v>23</v>
      </c>
      <c r="F159" t="s">
        <v>36</v>
      </c>
      <c r="G159" t="s">
        <v>25</v>
      </c>
      <c r="H159" t="s">
        <v>26</v>
      </c>
      <c r="I159" s="1">
        <v>40553</v>
      </c>
      <c r="J159" t="s">
        <v>582</v>
      </c>
      <c r="K159" s="1">
        <v>42350</v>
      </c>
      <c r="L159" t="s">
        <v>94</v>
      </c>
      <c r="M159" t="s">
        <v>95</v>
      </c>
      <c r="N159" t="s">
        <v>29</v>
      </c>
      <c r="O159" t="s">
        <v>124</v>
      </c>
      <c r="P159">
        <v>2</v>
      </c>
      <c r="Q159" t="s">
        <v>67</v>
      </c>
      <c r="R159" t="s">
        <v>43</v>
      </c>
      <c r="S159">
        <v>4.78</v>
      </c>
      <c r="T159">
        <v>4</v>
      </c>
      <c r="U159" t="s">
        <v>565</v>
      </c>
      <c r="V159" s="1">
        <v>42050</v>
      </c>
      <c r="W159">
        <v>9</v>
      </c>
      <c r="X159" t="s">
        <v>584</v>
      </c>
    </row>
    <row r="160" spans="1:24" x14ac:dyDescent="0.25">
      <c r="A160" t="s">
        <v>321</v>
      </c>
      <c r="B160">
        <v>10106</v>
      </c>
      <c r="C160" t="s">
        <v>46</v>
      </c>
      <c r="D160" s="1">
        <v>29061</v>
      </c>
      <c r="E160" t="s">
        <v>47</v>
      </c>
      <c r="F160" t="s">
        <v>54</v>
      </c>
      <c r="G160" t="s">
        <v>25</v>
      </c>
      <c r="H160" t="s">
        <v>105</v>
      </c>
      <c r="I160" s="1">
        <v>41281</v>
      </c>
      <c r="J160" t="s">
        <v>583</v>
      </c>
      <c r="K160" s="1">
        <v>41729</v>
      </c>
      <c r="L160" t="s">
        <v>79</v>
      </c>
      <c r="M160" t="s">
        <v>39</v>
      </c>
      <c r="N160" t="s">
        <v>29</v>
      </c>
      <c r="O160" t="s">
        <v>80</v>
      </c>
      <c r="P160">
        <v>14</v>
      </c>
      <c r="Q160" t="s">
        <v>42</v>
      </c>
      <c r="R160" t="s">
        <v>43</v>
      </c>
      <c r="S160">
        <v>4.5199999999999996</v>
      </c>
      <c r="T160">
        <v>3</v>
      </c>
      <c r="U160" t="s">
        <v>566</v>
      </c>
      <c r="V160" s="1">
        <v>41690</v>
      </c>
      <c r="W160">
        <v>20</v>
      </c>
      <c r="X160" t="s">
        <v>584</v>
      </c>
    </row>
    <row r="161" spans="1:24" x14ac:dyDescent="0.25">
      <c r="A161" t="s">
        <v>322</v>
      </c>
      <c r="B161">
        <v>10052</v>
      </c>
      <c r="C161" t="s">
        <v>22</v>
      </c>
      <c r="D161" s="1">
        <v>31452</v>
      </c>
      <c r="E161" t="s">
        <v>23</v>
      </c>
      <c r="F161" t="s">
        <v>36</v>
      </c>
      <c r="G161" t="s">
        <v>25</v>
      </c>
      <c r="H161" t="s">
        <v>26</v>
      </c>
      <c r="I161" s="1">
        <v>41099</v>
      </c>
      <c r="J161" t="s">
        <v>583</v>
      </c>
      <c r="K161" s="1" t="s">
        <v>500</v>
      </c>
      <c r="L161" t="s">
        <v>27</v>
      </c>
      <c r="M161" t="s">
        <v>28</v>
      </c>
      <c r="N161" t="s">
        <v>29</v>
      </c>
      <c r="O161" t="s">
        <v>80</v>
      </c>
      <c r="P161">
        <v>14</v>
      </c>
      <c r="Q161" t="s">
        <v>31</v>
      </c>
      <c r="R161" t="s">
        <v>43</v>
      </c>
      <c r="S161">
        <v>5</v>
      </c>
      <c r="T161">
        <v>5</v>
      </c>
      <c r="U161" t="s">
        <v>564</v>
      </c>
      <c r="V161" s="1">
        <v>43500</v>
      </c>
      <c r="W161">
        <v>13</v>
      </c>
      <c r="X161" t="s">
        <v>586</v>
      </c>
    </row>
    <row r="162" spans="1:24" x14ac:dyDescent="0.25">
      <c r="A162" t="s">
        <v>323</v>
      </c>
      <c r="B162">
        <v>10038</v>
      </c>
      <c r="C162" t="s">
        <v>128</v>
      </c>
      <c r="D162" s="1">
        <v>30798</v>
      </c>
      <c r="E162" t="s">
        <v>23</v>
      </c>
      <c r="F162" t="s">
        <v>54</v>
      </c>
      <c r="G162" t="s">
        <v>25</v>
      </c>
      <c r="H162" t="s">
        <v>70</v>
      </c>
      <c r="I162" s="1">
        <v>41645</v>
      </c>
      <c r="J162" t="s">
        <v>584</v>
      </c>
      <c r="K162" s="1" t="s">
        <v>500</v>
      </c>
      <c r="L162" t="s">
        <v>27</v>
      </c>
      <c r="M162" t="s">
        <v>28</v>
      </c>
      <c r="N162" t="s">
        <v>119</v>
      </c>
      <c r="O162" t="s">
        <v>120</v>
      </c>
      <c r="P162">
        <v>1</v>
      </c>
      <c r="Q162" t="s">
        <v>205</v>
      </c>
      <c r="R162" t="s">
        <v>43</v>
      </c>
      <c r="S162">
        <v>5</v>
      </c>
      <c r="T162">
        <v>4</v>
      </c>
      <c r="U162" t="s">
        <v>565</v>
      </c>
      <c r="V162" s="1">
        <v>43482</v>
      </c>
      <c r="W162">
        <v>3</v>
      </c>
      <c r="X162" t="s">
        <v>586</v>
      </c>
    </row>
    <row r="163" spans="1:24" x14ac:dyDescent="0.25">
      <c r="A163" t="s">
        <v>324</v>
      </c>
      <c r="B163">
        <v>10249</v>
      </c>
      <c r="C163" t="s">
        <v>46</v>
      </c>
      <c r="D163" s="1">
        <v>30811</v>
      </c>
      <c r="E163" t="s">
        <v>23</v>
      </c>
      <c r="F163" t="s">
        <v>36</v>
      </c>
      <c r="G163" t="s">
        <v>25</v>
      </c>
      <c r="H163" t="s">
        <v>26</v>
      </c>
      <c r="I163" s="1">
        <v>41001</v>
      </c>
      <c r="J163" t="s">
        <v>583</v>
      </c>
      <c r="K163" s="1">
        <v>41379</v>
      </c>
      <c r="L163" t="s">
        <v>196</v>
      </c>
      <c r="M163" t="s">
        <v>39</v>
      </c>
      <c r="N163" t="s">
        <v>29</v>
      </c>
      <c r="O163" t="s">
        <v>49</v>
      </c>
      <c r="P163">
        <v>20</v>
      </c>
      <c r="Q163" t="s">
        <v>57</v>
      </c>
      <c r="R163" t="s">
        <v>43</v>
      </c>
      <c r="S163">
        <v>4.9000000000000004</v>
      </c>
      <c r="T163">
        <v>3</v>
      </c>
      <c r="U163" t="s">
        <v>566</v>
      </c>
      <c r="V163" s="1">
        <v>41325</v>
      </c>
      <c r="W163">
        <v>20</v>
      </c>
      <c r="X163" t="s">
        <v>583</v>
      </c>
    </row>
    <row r="164" spans="1:24" x14ac:dyDescent="0.25">
      <c r="A164" t="s">
        <v>326</v>
      </c>
      <c r="B164">
        <v>10232</v>
      </c>
      <c r="C164" t="s">
        <v>327</v>
      </c>
      <c r="D164" s="1">
        <v>31942</v>
      </c>
      <c r="E164" t="s">
        <v>47</v>
      </c>
      <c r="F164" t="s">
        <v>24</v>
      </c>
      <c r="G164" t="s">
        <v>25</v>
      </c>
      <c r="H164" t="s">
        <v>105</v>
      </c>
      <c r="I164" s="1">
        <v>42645</v>
      </c>
      <c r="J164" t="s">
        <v>585</v>
      </c>
      <c r="K164" s="1" t="s">
        <v>500</v>
      </c>
      <c r="L164" t="s">
        <v>27</v>
      </c>
      <c r="M164" t="s">
        <v>28</v>
      </c>
      <c r="N164" t="s">
        <v>40</v>
      </c>
      <c r="O164" t="s">
        <v>201</v>
      </c>
      <c r="P164">
        <v>13</v>
      </c>
      <c r="Q164" t="s">
        <v>42</v>
      </c>
      <c r="R164" t="s">
        <v>43</v>
      </c>
      <c r="S164">
        <v>4.0999999999999996</v>
      </c>
      <c r="T164">
        <v>5</v>
      </c>
      <c r="U164" t="s">
        <v>564</v>
      </c>
      <c r="V164" s="1">
        <v>43473</v>
      </c>
      <c r="W164">
        <v>2</v>
      </c>
      <c r="X164" t="s">
        <v>586</v>
      </c>
    </row>
    <row r="165" spans="1:24" x14ac:dyDescent="0.25">
      <c r="A165" t="s">
        <v>328</v>
      </c>
      <c r="B165">
        <v>10087</v>
      </c>
      <c r="C165" t="s">
        <v>22</v>
      </c>
      <c r="D165" s="1">
        <v>28872</v>
      </c>
      <c r="E165" t="s">
        <v>47</v>
      </c>
      <c r="F165" t="s">
        <v>24</v>
      </c>
      <c r="G165" t="s">
        <v>25</v>
      </c>
      <c r="H165" t="s">
        <v>105</v>
      </c>
      <c r="I165" s="1">
        <v>40812</v>
      </c>
      <c r="J165" t="s">
        <v>582</v>
      </c>
      <c r="K165" s="1">
        <v>43331</v>
      </c>
      <c r="L165" t="s">
        <v>55</v>
      </c>
      <c r="M165" t="s">
        <v>39</v>
      </c>
      <c r="N165" t="s">
        <v>29</v>
      </c>
      <c r="O165" t="s">
        <v>49</v>
      </c>
      <c r="P165">
        <v>20</v>
      </c>
      <c r="Q165" t="s">
        <v>111</v>
      </c>
      <c r="R165" t="s">
        <v>43</v>
      </c>
      <c r="S165">
        <v>4.88</v>
      </c>
      <c r="T165">
        <v>3</v>
      </c>
      <c r="U165" t="s">
        <v>566</v>
      </c>
      <c r="V165" s="1">
        <v>42918</v>
      </c>
      <c r="W165">
        <v>17</v>
      </c>
      <c r="X165" t="s">
        <v>585</v>
      </c>
    </row>
    <row r="166" spans="1:24" x14ac:dyDescent="0.25">
      <c r="A166" t="s">
        <v>329</v>
      </c>
      <c r="B166">
        <v>10134</v>
      </c>
      <c r="C166" t="s">
        <v>330</v>
      </c>
      <c r="D166" s="1">
        <v>30843</v>
      </c>
      <c r="E166" t="s">
        <v>23</v>
      </c>
      <c r="F166" t="s">
        <v>36</v>
      </c>
      <c r="G166" t="s">
        <v>25</v>
      </c>
      <c r="H166" t="s">
        <v>26</v>
      </c>
      <c r="I166" s="1">
        <v>42374</v>
      </c>
      <c r="J166" t="s">
        <v>585</v>
      </c>
      <c r="K166" s="1" t="s">
        <v>500</v>
      </c>
      <c r="L166" t="s">
        <v>27</v>
      </c>
      <c r="M166" t="s">
        <v>28</v>
      </c>
      <c r="N166" t="s">
        <v>119</v>
      </c>
      <c r="O166" t="s">
        <v>124</v>
      </c>
      <c r="P166">
        <v>2</v>
      </c>
      <c r="Q166" t="s">
        <v>111</v>
      </c>
      <c r="R166" t="s">
        <v>43</v>
      </c>
      <c r="S166">
        <v>4.0999999999999996</v>
      </c>
      <c r="T166">
        <v>4</v>
      </c>
      <c r="U166" t="s">
        <v>565</v>
      </c>
      <c r="V166" s="1">
        <v>43493</v>
      </c>
      <c r="W166">
        <v>20</v>
      </c>
      <c r="X166" t="s">
        <v>586</v>
      </c>
    </row>
    <row r="167" spans="1:24" x14ac:dyDescent="0.25">
      <c r="A167" t="s">
        <v>331</v>
      </c>
      <c r="B167">
        <v>10251</v>
      </c>
      <c r="C167" t="s">
        <v>22</v>
      </c>
      <c r="D167" s="1">
        <v>30196</v>
      </c>
      <c r="E167" t="s">
        <v>23</v>
      </c>
      <c r="F167" t="s">
        <v>36</v>
      </c>
      <c r="G167" t="s">
        <v>25</v>
      </c>
      <c r="H167" t="s">
        <v>105</v>
      </c>
      <c r="I167" s="1">
        <v>41043</v>
      </c>
      <c r="J167" t="s">
        <v>583</v>
      </c>
      <c r="K167" s="1" t="s">
        <v>500</v>
      </c>
      <c r="L167" t="s">
        <v>27</v>
      </c>
      <c r="M167" t="s">
        <v>28</v>
      </c>
      <c r="N167" t="s">
        <v>29</v>
      </c>
      <c r="O167" t="s">
        <v>52</v>
      </c>
      <c r="P167">
        <v>16</v>
      </c>
      <c r="Q167" t="s">
        <v>57</v>
      </c>
      <c r="R167" t="s">
        <v>43</v>
      </c>
      <c r="S167">
        <v>4.0999999999999996</v>
      </c>
      <c r="T167">
        <v>3</v>
      </c>
      <c r="U167" t="s">
        <v>566</v>
      </c>
      <c r="V167" s="1">
        <v>43518</v>
      </c>
      <c r="W167">
        <v>10</v>
      </c>
      <c r="X167" t="s">
        <v>586</v>
      </c>
    </row>
    <row r="168" spans="1:24" x14ac:dyDescent="0.25">
      <c r="A168" t="s">
        <v>332</v>
      </c>
      <c r="B168">
        <v>10103</v>
      </c>
      <c r="C168" t="s">
        <v>135</v>
      </c>
      <c r="D168" s="1">
        <v>32200</v>
      </c>
      <c r="E168" t="s">
        <v>23</v>
      </c>
      <c r="F168" t="s">
        <v>132</v>
      </c>
      <c r="G168" t="s">
        <v>25</v>
      </c>
      <c r="H168" t="s">
        <v>70</v>
      </c>
      <c r="I168" s="1">
        <v>41029</v>
      </c>
      <c r="J168" t="s">
        <v>583</v>
      </c>
      <c r="K168" s="1" t="s">
        <v>500</v>
      </c>
      <c r="L168" t="s">
        <v>27</v>
      </c>
      <c r="M168" t="s">
        <v>28</v>
      </c>
      <c r="N168" t="s">
        <v>136</v>
      </c>
      <c r="O168" t="s">
        <v>137</v>
      </c>
      <c r="P168">
        <v>17</v>
      </c>
      <c r="Q168" t="s">
        <v>205</v>
      </c>
      <c r="R168" t="s">
        <v>43</v>
      </c>
      <c r="S168">
        <v>4.53</v>
      </c>
      <c r="T168">
        <v>3</v>
      </c>
      <c r="U168" t="s">
        <v>566</v>
      </c>
      <c r="V168" s="1">
        <v>43494</v>
      </c>
      <c r="W168">
        <v>16</v>
      </c>
      <c r="X168" t="s">
        <v>586</v>
      </c>
    </row>
    <row r="169" spans="1:24" x14ac:dyDescent="0.25">
      <c r="A169" t="s">
        <v>333</v>
      </c>
      <c r="B169">
        <v>10017</v>
      </c>
      <c r="C169" t="s">
        <v>122</v>
      </c>
      <c r="D169" s="1">
        <v>29885</v>
      </c>
      <c r="E169" t="s">
        <v>47</v>
      </c>
      <c r="F169" t="s">
        <v>36</v>
      </c>
      <c r="G169" t="s">
        <v>25</v>
      </c>
      <c r="H169" t="s">
        <v>26</v>
      </c>
      <c r="I169" s="1">
        <v>41547</v>
      </c>
      <c r="J169" t="s">
        <v>583</v>
      </c>
      <c r="K169" s="1" t="s">
        <v>500</v>
      </c>
      <c r="L169" t="s">
        <v>27</v>
      </c>
      <c r="M169" t="s">
        <v>28</v>
      </c>
      <c r="N169" t="s">
        <v>29</v>
      </c>
      <c r="O169" t="s">
        <v>124</v>
      </c>
      <c r="P169">
        <v>2</v>
      </c>
      <c r="Q169" t="s">
        <v>205</v>
      </c>
      <c r="R169" t="s">
        <v>32</v>
      </c>
      <c r="S169">
        <v>4.0999999999999996</v>
      </c>
      <c r="T169">
        <v>3</v>
      </c>
      <c r="U169" t="s">
        <v>566</v>
      </c>
      <c r="V169" s="1">
        <v>43486</v>
      </c>
      <c r="W169">
        <v>11</v>
      </c>
      <c r="X169" t="s">
        <v>586</v>
      </c>
    </row>
    <row r="170" spans="1:24" x14ac:dyDescent="0.25">
      <c r="A170" t="s">
        <v>334</v>
      </c>
      <c r="B170">
        <v>10186</v>
      </c>
      <c r="C170" t="s">
        <v>22</v>
      </c>
      <c r="D170" s="1">
        <v>29671</v>
      </c>
      <c r="E170" t="s">
        <v>47</v>
      </c>
      <c r="F170" t="s">
        <v>36</v>
      </c>
      <c r="G170" t="s">
        <v>25</v>
      </c>
      <c r="H170" t="s">
        <v>26</v>
      </c>
      <c r="I170" s="1">
        <v>40729</v>
      </c>
      <c r="J170" t="s">
        <v>582</v>
      </c>
      <c r="K170" s="1">
        <v>43369</v>
      </c>
      <c r="L170" t="s">
        <v>83</v>
      </c>
      <c r="M170" t="s">
        <v>39</v>
      </c>
      <c r="N170" t="s">
        <v>29</v>
      </c>
      <c r="O170" t="s">
        <v>30</v>
      </c>
      <c r="P170">
        <v>22</v>
      </c>
      <c r="Q170" t="s">
        <v>42</v>
      </c>
      <c r="R170" t="s">
        <v>43</v>
      </c>
      <c r="S170">
        <v>3.18</v>
      </c>
      <c r="T170">
        <v>4</v>
      </c>
      <c r="U170" t="s">
        <v>565</v>
      </c>
      <c r="V170" s="1">
        <v>43161</v>
      </c>
      <c r="W170">
        <v>16</v>
      </c>
      <c r="X170" t="s">
        <v>586</v>
      </c>
    </row>
    <row r="171" spans="1:24" x14ac:dyDescent="0.25">
      <c r="A171" t="s">
        <v>335</v>
      </c>
      <c r="B171">
        <v>10137</v>
      </c>
      <c r="C171" t="s">
        <v>46</v>
      </c>
      <c r="D171" s="1">
        <v>28933</v>
      </c>
      <c r="E171" t="s">
        <v>23</v>
      </c>
      <c r="F171" t="s">
        <v>36</v>
      </c>
      <c r="G171" t="s">
        <v>25</v>
      </c>
      <c r="H171" t="s">
        <v>26</v>
      </c>
      <c r="I171" s="1">
        <v>41463</v>
      </c>
      <c r="J171" t="s">
        <v>583</v>
      </c>
      <c r="K171" s="1" t="s">
        <v>500</v>
      </c>
      <c r="L171" t="s">
        <v>27</v>
      </c>
      <c r="M171" t="s">
        <v>28</v>
      </c>
      <c r="N171" t="s">
        <v>29</v>
      </c>
      <c r="O171" t="s">
        <v>89</v>
      </c>
      <c r="P171">
        <v>18</v>
      </c>
      <c r="Q171" t="s">
        <v>31</v>
      </c>
      <c r="R171" t="s">
        <v>43</v>
      </c>
      <c r="S171">
        <v>4</v>
      </c>
      <c r="T171">
        <v>3</v>
      </c>
      <c r="U171" t="s">
        <v>566</v>
      </c>
      <c r="V171" s="1">
        <v>43514</v>
      </c>
      <c r="W171">
        <v>7</v>
      </c>
      <c r="X171" t="s">
        <v>586</v>
      </c>
    </row>
    <row r="172" spans="1:24" x14ac:dyDescent="0.25">
      <c r="A172" t="s">
        <v>336</v>
      </c>
      <c r="B172">
        <v>10008</v>
      </c>
      <c r="C172" t="s">
        <v>75</v>
      </c>
      <c r="D172" s="1">
        <v>32421</v>
      </c>
      <c r="E172" t="s">
        <v>47</v>
      </c>
      <c r="F172" t="s">
        <v>24</v>
      </c>
      <c r="G172" t="s">
        <v>25</v>
      </c>
      <c r="H172" t="s">
        <v>70</v>
      </c>
      <c r="I172" s="1">
        <v>40564</v>
      </c>
      <c r="J172" t="s">
        <v>582</v>
      </c>
      <c r="K172" s="1" t="s">
        <v>500</v>
      </c>
      <c r="L172" t="s">
        <v>27</v>
      </c>
      <c r="M172" t="s">
        <v>28</v>
      </c>
      <c r="N172" t="s">
        <v>40</v>
      </c>
      <c r="O172" t="s">
        <v>165</v>
      </c>
      <c r="P172">
        <v>6</v>
      </c>
      <c r="Q172" t="s">
        <v>72</v>
      </c>
      <c r="R172" t="s">
        <v>32</v>
      </c>
      <c r="S172">
        <v>4.6399999999999997</v>
      </c>
      <c r="T172">
        <v>4</v>
      </c>
      <c r="U172" t="s">
        <v>565</v>
      </c>
      <c r="V172" s="1">
        <v>43490</v>
      </c>
      <c r="W172">
        <v>14</v>
      </c>
      <c r="X172" t="s">
        <v>586</v>
      </c>
    </row>
    <row r="173" spans="1:24" x14ac:dyDescent="0.25">
      <c r="A173" t="s">
        <v>337</v>
      </c>
      <c r="B173">
        <v>10096</v>
      </c>
      <c r="C173" t="s">
        <v>46</v>
      </c>
      <c r="D173" s="1">
        <v>27816</v>
      </c>
      <c r="E173" t="s">
        <v>47</v>
      </c>
      <c r="F173" t="s">
        <v>65</v>
      </c>
      <c r="G173" t="s">
        <v>25</v>
      </c>
      <c r="H173" t="s">
        <v>26</v>
      </c>
      <c r="I173" s="1">
        <v>41463</v>
      </c>
      <c r="J173" t="s">
        <v>583</v>
      </c>
      <c r="K173" s="1">
        <v>42628</v>
      </c>
      <c r="L173" t="s">
        <v>196</v>
      </c>
      <c r="M173" t="s">
        <v>39</v>
      </c>
      <c r="N173" t="s">
        <v>29</v>
      </c>
      <c r="O173" t="s">
        <v>30</v>
      </c>
      <c r="P173">
        <v>22</v>
      </c>
      <c r="Q173" t="s">
        <v>31</v>
      </c>
      <c r="R173" t="s">
        <v>43</v>
      </c>
      <c r="S173">
        <v>4.6500000000000004</v>
      </c>
      <c r="T173">
        <v>4</v>
      </c>
      <c r="U173" t="s">
        <v>565</v>
      </c>
      <c r="V173" s="1">
        <v>42531</v>
      </c>
      <c r="W173">
        <v>15</v>
      </c>
      <c r="X173" t="s">
        <v>585</v>
      </c>
    </row>
    <row r="174" spans="1:24" x14ac:dyDescent="0.25">
      <c r="A174" t="s">
        <v>338</v>
      </c>
      <c r="B174">
        <v>10035</v>
      </c>
      <c r="C174" t="s">
        <v>46</v>
      </c>
      <c r="D174" s="1">
        <v>30038</v>
      </c>
      <c r="E174" t="s">
        <v>47</v>
      </c>
      <c r="F174" t="s">
        <v>24</v>
      </c>
      <c r="G174" t="s">
        <v>25</v>
      </c>
      <c r="H174" t="s">
        <v>70</v>
      </c>
      <c r="I174" s="1">
        <v>41505</v>
      </c>
      <c r="J174" t="s">
        <v>583</v>
      </c>
      <c r="K174" s="1" t="s">
        <v>500</v>
      </c>
      <c r="L174" t="s">
        <v>27</v>
      </c>
      <c r="M174" t="s">
        <v>28</v>
      </c>
      <c r="N174" t="s">
        <v>29</v>
      </c>
      <c r="O174" t="s">
        <v>52</v>
      </c>
      <c r="P174">
        <v>16</v>
      </c>
      <c r="Q174" t="s">
        <v>42</v>
      </c>
      <c r="R174" t="s">
        <v>32</v>
      </c>
      <c r="S174">
        <v>4.2</v>
      </c>
      <c r="T174">
        <v>4</v>
      </c>
      <c r="U174" t="s">
        <v>565</v>
      </c>
      <c r="V174" s="1">
        <v>43508</v>
      </c>
      <c r="W174">
        <v>19</v>
      </c>
      <c r="X174" t="s">
        <v>586</v>
      </c>
    </row>
    <row r="175" spans="1:24" x14ac:dyDescent="0.25">
      <c r="A175" t="s">
        <v>339</v>
      </c>
      <c r="B175">
        <v>10057</v>
      </c>
      <c r="C175" t="s">
        <v>22</v>
      </c>
      <c r="D175" s="1">
        <v>27689</v>
      </c>
      <c r="E175" t="s">
        <v>47</v>
      </c>
      <c r="F175" t="s">
        <v>36</v>
      </c>
      <c r="G175" t="s">
        <v>25</v>
      </c>
      <c r="H175" t="s">
        <v>70</v>
      </c>
      <c r="I175" s="1">
        <v>42051</v>
      </c>
      <c r="J175" t="s">
        <v>584</v>
      </c>
      <c r="K175" s="1" t="s">
        <v>500</v>
      </c>
      <c r="L175" t="s">
        <v>27</v>
      </c>
      <c r="M175" t="s">
        <v>28</v>
      </c>
      <c r="N175" t="s">
        <v>29</v>
      </c>
      <c r="O175" t="s">
        <v>52</v>
      </c>
      <c r="P175">
        <v>16</v>
      </c>
      <c r="Q175" t="s">
        <v>205</v>
      </c>
      <c r="R175" t="s">
        <v>43</v>
      </c>
      <c r="S175">
        <v>5</v>
      </c>
      <c r="T175">
        <v>3</v>
      </c>
      <c r="U175" t="s">
        <v>566</v>
      </c>
      <c r="V175" s="1">
        <v>43488</v>
      </c>
      <c r="W175">
        <v>6</v>
      </c>
      <c r="X175" t="s">
        <v>586</v>
      </c>
    </row>
    <row r="176" spans="1:24" x14ac:dyDescent="0.25">
      <c r="A176" t="s">
        <v>340</v>
      </c>
      <c r="B176">
        <v>10004</v>
      </c>
      <c r="C176" t="s">
        <v>22</v>
      </c>
      <c r="D176" s="1">
        <v>26709</v>
      </c>
      <c r="E176" t="s">
        <v>47</v>
      </c>
      <c r="F176" t="s">
        <v>24</v>
      </c>
      <c r="G176" t="s">
        <v>25</v>
      </c>
      <c r="H176" t="s">
        <v>70</v>
      </c>
      <c r="I176" s="1">
        <v>40550</v>
      </c>
      <c r="J176" t="s">
        <v>582</v>
      </c>
      <c r="K176" s="1">
        <v>42322</v>
      </c>
      <c r="L176" t="s">
        <v>79</v>
      </c>
      <c r="M176" t="s">
        <v>39</v>
      </c>
      <c r="N176" t="s">
        <v>29</v>
      </c>
      <c r="O176" t="s">
        <v>56</v>
      </c>
      <c r="P176">
        <v>39</v>
      </c>
      <c r="Q176" t="s">
        <v>72</v>
      </c>
      <c r="R176" t="s">
        <v>32</v>
      </c>
      <c r="S176">
        <v>5</v>
      </c>
      <c r="T176">
        <v>4</v>
      </c>
      <c r="U176" t="s">
        <v>565</v>
      </c>
      <c r="V176" s="1">
        <v>42037</v>
      </c>
      <c r="W176">
        <v>17</v>
      </c>
      <c r="X176" t="s">
        <v>584</v>
      </c>
    </row>
    <row r="177" spans="1:24" x14ac:dyDescent="0.25">
      <c r="A177" t="s">
        <v>341</v>
      </c>
      <c r="B177">
        <v>10191</v>
      </c>
      <c r="C177" t="s">
        <v>22</v>
      </c>
      <c r="D177" s="1">
        <v>26307</v>
      </c>
      <c r="E177" t="s">
        <v>23</v>
      </c>
      <c r="F177" t="s">
        <v>65</v>
      </c>
      <c r="G177" t="s">
        <v>25</v>
      </c>
      <c r="H177" t="s">
        <v>26</v>
      </c>
      <c r="I177" s="1">
        <v>41176</v>
      </c>
      <c r="J177" t="s">
        <v>583</v>
      </c>
      <c r="K177" s="1">
        <v>43004</v>
      </c>
      <c r="L177" t="s">
        <v>48</v>
      </c>
      <c r="M177" t="s">
        <v>39</v>
      </c>
      <c r="N177" t="s">
        <v>29</v>
      </c>
      <c r="O177" t="s">
        <v>59</v>
      </c>
      <c r="P177">
        <v>11</v>
      </c>
      <c r="Q177" t="s">
        <v>42</v>
      </c>
      <c r="R177" t="s">
        <v>43</v>
      </c>
      <c r="S177">
        <v>3.08</v>
      </c>
      <c r="T177">
        <v>4</v>
      </c>
      <c r="U177" t="s">
        <v>565</v>
      </c>
      <c r="V177" s="1">
        <v>42826</v>
      </c>
      <c r="W177">
        <v>18</v>
      </c>
      <c r="X177" t="s">
        <v>585</v>
      </c>
    </row>
    <row r="178" spans="1:24" x14ac:dyDescent="0.25">
      <c r="A178" t="s">
        <v>342</v>
      </c>
      <c r="B178">
        <v>10219</v>
      </c>
      <c r="C178" t="s">
        <v>22</v>
      </c>
      <c r="D178" s="1">
        <v>31600</v>
      </c>
      <c r="E178" t="s">
        <v>47</v>
      </c>
      <c r="F178" t="s">
        <v>24</v>
      </c>
      <c r="G178" t="s">
        <v>25</v>
      </c>
      <c r="H178" t="s">
        <v>26</v>
      </c>
      <c r="I178" s="1">
        <v>41645</v>
      </c>
      <c r="J178" t="s">
        <v>584</v>
      </c>
      <c r="K178" s="1" t="s">
        <v>500</v>
      </c>
      <c r="L178" t="s">
        <v>27</v>
      </c>
      <c r="M178" t="s">
        <v>28</v>
      </c>
      <c r="N178" t="s">
        <v>29</v>
      </c>
      <c r="O178" t="s">
        <v>66</v>
      </c>
      <c r="P178">
        <v>19</v>
      </c>
      <c r="Q178" t="s">
        <v>31</v>
      </c>
      <c r="R178" t="s">
        <v>43</v>
      </c>
      <c r="S178">
        <v>4.5999999999999996</v>
      </c>
      <c r="T178">
        <v>4</v>
      </c>
      <c r="U178" t="s">
        <v>565</v>
      </c>
      <c r="V178" s="1">
        <v>43522</v>
      </c>
      <c r="W178">
        <v>14</v>
      </c>
      <c r="X178" t="s">
        <v>586</v>
      </c>
    </row>
    <row r="179" spans="1:24" x14ac:dyDescent="0.25">
      <c r="A179" t="s">
        <v>343</v>
      </c>
      <c r="B179">
        <v>10077</v>
      </c>
      <c r="C179" t="s">
        <v>46</v>
      </c>
      <c r="D179" s="1">
        <v>27997</v>
      </c>
      <c r="E179" t="s">
        <v>47</v>
      </c>
      <c r="F179" t="s">
        <v>36</v>
      </c>
      <c r="G179" t="s">
        <v>25</v>
      </c>
      <c r="H179" t="s">
        <v>26</v>
      </c>
      <c r="I179" s="1">
        <v>42501</v>
      </c>
      <c r="J179" t="s">
        <v>585</v>
      </c>
      <c r="K179" s="1" t="s">
        <v>500</v>
      </c>
      <c r="L179" t="s">
        <v>27</v>
      </c>
      <c r="M179" t="s">
        <v>28</v>
      </c>
      <c r="N179" t="s">
        <v>29</v>
      </c>
      <c r="O179" t="s">
        <v>56</v>
      </c>
      <c r="Q179" t="s">
        <v>31</v>
      </c>
      <c r="R179" t="s">
        <v>43</v>
      </c>
      <c r="S179">
        <v>5</v>
      </c>
      <c r="T179">
        <v>3</v>
      </c>
      <c r="U179" t="s">
        <v>566</v>
      </c>
      <c r="V179" s="1">
        <v>43486</v>
      </c>
      <c r="W179">
        <v>4</v>
      </c>
      <c r="X179" t="s">
        <v>586</v>
      </c>
    </row>
    <row r="180" spans="1:24" x14ac:dyDescent="0.25">
      <c r="A180" t="s">
        <v>344</v>
      </c>
      <c r="B180">
        <v>10073</v>
      </c>
      <c r="C180" t="s">
        <v>46</v>
      </c>
      <c r="D180" s="1">
        <v>31453</v>
      </c>
      <c r="E180" t="s">
        <v>47</v>
      </c>
      <c r="F180" t="s">
        <v>36</v>
      </c>
      <c r="G180" t="s">
        <v>25</v>
      </c>
      <c r="H180" t="s">
        <v>87</v>
      </c>
      <c r="I180" s="1">
        <v>40729</v>
      </c>
      <c r="J180" t="s">
        <v>582</v>
      </c>
      <c r="K180" s="1">
        <v>41140</v>
      </c>
      <c r="L180" t="s">
        <v>79</v>
      </c>
      <c r="M180" t="s">
        <v>39</v>
      </c>
      <c r="N180" t="s">
        <v>29</v>
      </c>
      <c r="O180" t="s">
        <v>59</v>
      </c>
      <c r="P180">
        <v>11</v>
      </c>
      <c r="Q180" t="s">
        <v>31</v>
      </c>
      <c r="R180" t="s">
        <v>43</v>
      </c>
      <c r="S180">
        <v>5</v>
      </c>
      <c r="T180">
        <v>4</v>
      </c>
      <c r="U180" t="s">
        <v>565</v>
      </c>
      <c r="V180" s="1">
        <v>41092</v>
      </c>
      <c r="W180">
        <v>16</v>
      </c>
      <c r="X180" t="s">
        <v>583</v>
      </c>
    </row>
    <row r="181" spans="1:24" x14ac:dyDescent="0.25">
      <c r="A181" t="s">
        <v>345</v>
      </c>
      <c r="B181">
        <v>10279</v>
      </c>
      <c r="C181" t="s">
        <v>22</v>
      </c>
      <c r="D181" s="1">
        <v>27036</v>
      </c>
      <c r="E181" t="s">
        <v>47</v>
      </c>
      <c r="F181" t="s">
        <v>36</v>
      </c>
      <c r="G181" t="s">
        <v>25</v>
      </c>
      <c r="H181" t="s">
        <v>26</v>
      </c>
      <c r="I181" s="1">
        <v>41285</v>
      </c>
      <c r="J181" t="s">
        <v>583</v>
      </c>
      <c r="K181" s="1" t="s">
        <v>500</v>
      </c>
      <c r="L181" t="s">
        <v>27</v>
      </c>
      <c r="M181" t="s">
        <v>28</v>
      </c>
      <c r="N181" t="s">
        <v>29</v>
      </c>
      <c r="O181" t="s">
        <v>71</v>
      </c>
      <c r="P181">
        <v>12</v>
      </c>
      <c r="Q181" t="s">
        <v>31</v>
      </c>
      <c r="R181" t="s">
        <v>43</v>
      </c>
      <c r="S181">
        <v>4.0999999999999996</v>
      </c>
      <c r="T181">
        <v>3</v>
      </c>
      <c r="U181" t="s">
        <v>566</v>
      </c>
      <c r="V181" s="1">
        <v>43487</v>
      </c>
      <c r="W181">
        <v>11</v>
      </c>
      <c r="X181" t="s">
        <v>586</v>
      </c>
    </row>
    <row r="182" spans="1:24" x14ac:dyDescent="0.25">
      <c r="A182" t="s">
        <v>346</v>
      </c>
      <c r="B182">
        <v>10110</v>
      </c>
      <c r="C182" t="s">
        <v>61</v>
      </c>
      <c r="D182" s="1">
        <v>31784</v>
      </c>
      <c r="E182" t="s">
        <v>47</v>
      </c>
      <c r="F182" t="s">
        <v>24</v>
      </c>
      <c r="G182" t="s">
        <v>25</v>
      </c>
      <c r="H182" t="s">
        <v>105</v>
      </c>
      <c r="I182" s="1">
        <v>41285</v>
      </c>
      <c r="J182" t="s">
        <v>583</v>
      </c>
      <c r="K182" s="1" t="s">
        <v>500</v>
      </c>
      <c r="L182" t="s">
        <v>27</v>
      </c>
      <c r="M182" t="s">
        <v>28</v>
      </c>
      <c r="N182" t="s">
        <v>62</v>
      </c>
      <c r="O182" t="s">
        <v>63</v>
      </c>
      <c r="P182">
        <v>10</v>
      </c>
      <c r="Q182" t="s">
        <v>57</v>
      </c>
      <c r="R182" t="s">
        <v>43</v>
      </c>
      <c r="S182">
        <v>4.5</v>
      </c>
      <c r="T182">
        <v>5</v>
      </c>
      <c r="U182" t="s">
        <v>564</v>
      </c>
      <c r="V182" s="1">
        <v>43479</v>
      </c>
      <c r="W182">
        <v>14</v>
      </c>
      <c r="X182" t="s">
        <v>586</v>
      </c>
    </row>
    <row r="183" spans="1:24" x14ac:dyDescent="0.25">
      <c r="A183" t="s">
        <v>347</v>
      </c>
      <c r="B183">
        <v>10053</v>
      </c>
      <c r="C183" t="s">
        <v>22</v>
      </c>
      <c r="D183" s="1">
        <v>28147</v>
      </c>
      <c r="E183" t="s">
        <v>47</v>
      </c>
      <c r="F183" t="s">
        <v>36</v>
      </c>
      <c r="G183" t="s">
        <v>25</v>
      </c>
      <c r="H183" t="s">
        <v>26</v>
      </c>
      <c r="I183" s="1">
        <v>40694</v>
      </c>
      <c r="J183" t="s">
        <v>582</v>
      </c>
      <c r="K183" s="1" t="s">
        <v>500</v>
      </c>
      <c r="L183" t="s">
        <v>27</v>
      </c>
      <c r="M183" t="s">
        <v>28</v>
      </c>
      <c r="N183" t="s">
        <v>29</v>
      </c>
      <c r="O183" t="s">
        <v>80</v>
      </c>
      <c r="P183">
        <v>14</v>
      </c>
      <c r="Q183" t="s">
        <v>42</v>
      </c>
      <c r="R183" t="s">
        <v>43</v>
      </c>
      <c r="S183">
        <v>5</v>
      </c>
      <c r="T183">
        <v>4</v>
      </c>
      <c r="U183" t="s">
        <v>565</v>
      </c>
      <c r="V183" s="1">
        <v>43475</v>
      </c>
      <c r="W183">
        <v>8</v>
      </c>
      <c r="X183" t="s">
        <v>586</v>
      </c>
    </row>
    <row r="184" spans="1:24" x14ac:dyDescent="0.25">
      <c r="A184" t="s">
        <v>348</v>
      </c>
      <c r="B184">
        <v>10076</v>
      </c>
      <c r="C184" t="s">
        <v>46</v>
      </c>
      <c r="D184" s="1">
        <v>31918</v>
      </c>
      <c r="E184" t="s">
        <v>47</v>
      </c>
      <c r="F184" t="s">
        <v>24</v>
      </c>
      <c r="G184" t="s">
        <v>25</v>
      </c>
      <c r="H184" t="s">
        <v>70</v>
      </c>
      <c r="I184" s="1">
        <v>42093</v>
      </c>
      <c r="J184" t="s">
        <v>584</v>
      </c>
      <c r="K184" s="1" t="s">
        <v>500</v>
      </c>
      <c r="L184" t="s">
        <v>27</v>
      </c>
      <c r="M184" t="s">
        <v>28</v>
      </c>
      <c r="N184" t="s">
        <v>29</v>
      </c>
      <c r="O184" t="s">
        <v>66</v>
      </c>
      <c r="P184">
        <v>19</v>
      </c>
      <c r="Q184" t="s">
        <v>31</v>
      </c>
      <c r="R184" t="s">
        <v>43</v>
      </c>
      <c r="S184">
        <v>5</v>
      </c>
      <c r="T184">
        <v>5</v>
      </c>
      <c r="U184" t="s">
        <v>564</v>
      </c>
      <c r="V184" s="1">
        <v>43503</v>
      </c>
      <c r="W184">
        <v>16</v>
      </c>
      <c r="X184" t="s">
        <v>586</v>
      </c>
    </row>
    <row r="185" spans="1:24" x14ac:dyDescent="0.25">
      <c r="A185" t="s">
        <v>349</v>
      </c>
      <c r="B185">
        <v>10145</v>
      </c>
      <c r="C185" t="s">
        <v>22</v>
      </c>
      <c r="D185" s="1">
        <v>31784</v>
      </c>
      <c r="E185" t="s">
        <v>47</v>
      </c>
      <c r="F185" t="s">
        <v>36</v>
      </c>
      <c r="G185" t="s">
        <v>25</v>
      </c>
      <c r="H185" t="s">
        <v>70</v>
      </c>
      <c r="I185" s="1">
        <v>41281</v>
      </c>
      <c r="J185" t="s">
        <v>583</v>
      </c>
      <c r="K185" s="1" t="s">
        <v>500</v>
      </c>
      <c r="L185" t="s">
        <v>27</v>
      </c>
      <c r="M185" t="s">
        <v>28</v>
      </c>
      <c r="N185" t="s">
        <v>29</v>
      </c>
      <c r="O185" t="s">
        <v>49</v>
      </c>
      <c r="P185">
        <v>20</v>
      </c>
      <c r="Q185" t="s">
        <v>111</v>
      </c>
      <c r="R185" t="s">
        <v>43</v>
      </c>
      <c r="S185">
        <v>3.93</v>
      </c>
      <c r="T185">
        <v>3</v>
      </c>
      <c r="U185" t="s">
        <v>566</v>
      </c>
      <c r="V185" s="1">
        <v>43495</v>
      </c>
      <c r="W185">
        <v>20</v>
      </c>
      <c r="X185" t="s">
        <v>586</v>
      </c>
    </row>
    <row r="186" spans="1:24" x14ac:dyDescent="0.25">
      <c r="A186" t="s">
        <v>350</v>
      </c>
      <c r="B186">
        <v>10202</v>
      </c>
      <c r="C186" t="s">
        <v>135</v>
      </c>
      <c r="D186" s="1">
        <v>30864</v>
      </c>
      <c r="E186" t="s">
        <v>23</v>
      </c>
      <c r="F186" t="s">
        <v>36</v>
      </c>
      <c r="G186" t="s">
        <v>25</v>
      </c>
      <c r="H186" t="s">
        <v>87</v>
      </c>
      <c r="I186" s="1">
        <v>42557</v>
      </c>
      <c r="J186" t="s">
        <v>585</v>
      </c>
      <c r="K186" s="1" t="s">
        <v>500</v>
      </c>
      <c r="L186" t="s">
        <v>27</v>
      </c>
      <c r="M186" t="s">
        <v>28</v>
      </c>
      <c r="N186" t="s">
        <v>136</v>
      </c>
      <c r="O186" t="s">
        <v>158</v>
      </c>
      <c r="P186">
        <v>21</v>
      </c>
      <c r="Q186" t="s">
        <v>205</v>
      </c>
      <c r="R186" t="s">
        <v>43</v>
      </c>
      <c r="S186">
        <v>3.4</v>
      </c>
      <c r="T186">
        <v>4</v>
      </c>
      <c r="U186" t="s">
        <v>565</v>
      </c>
      <c r="V186" s="1">
        <v>43494</v>
      </c>
      <c r="W186">
        <v>7</v>
      </c>
      <c r="X186" t="s">
        <v>586</v>
      </c>
    </row>
    <row r="187" spans="1:24" x14ac:dyDescent="0.25">
      <c r="A187" t="s">
        <v>351</v>
      </c>
      <c r="B187">
        <v>10128</v>
      </c>
      <c r="C187" t="s">
        <v>22</v>
      </c>
      <c r="D187" s="1">
        <v>24988</v>
      </c>
      <c r="E187" t="s">
        <v>47</v>
      </c>
      <c r="F187" t="s">
        <v>24</v>
      </c>
      <c r="G187" t="s">
        <v>25</v>
      </c>
      <c r="H187" t="s">
        <v>70</v>
      </c>
      <c r="I187" s="1">
        <v>41001</v>
      </c>
      <c r="J187" t="s">
        <v>583</v>
      </c>
      <c r="K187" s="1">
        <v>42685</v>
      </c>
      <c r="L187" t="s">
        <v>79</v>
      </c>
      <c r="M187" t="s">
        <v>39</v>
      </c>
      <c r="N187" t="s">
        <v>29</v>
      </c>
      <c r="O187" t="s">
        <v>89</v>
      </c>
      <c r="P187">
        <v>18</v>
      </c>
      <c r="Q187" t="s">
        <v>72</v>
      </c>
      <c r="R187" t="s">
        <v>43</v>
      </c>
      <c r="S187">
        <v>4.18</v>
      </c>
      <c r="T187">
        <v>4</v>
      </c>
      <c r="U187" t="s">
        <v>565</v>
      </c>
      <c r="V187" s="1">
        <v>42405</v>
      </c>
      <c r="W187">
        <v>17</v>
      </c>
      <c r="X187" t="s">
        <v>585</v>
      </c>
    </row>
    <row r="188" spans="1:24" x14ac:dyDescent="0.25">
      <c r="A188" t="s">
        <v>352</v>
      </c>
      <c r="B188">
        <v>10068</v>
      </c>
      <c r="C188" t="s">
        <v>22</v>
      </c>
      <c r="D188" s="1">
        <v>28025</v>
      </c>
      <c r="E188" t="s">
        <v>47</v>
      </c>
      <c r="F188" t="s">
        <v>24</v>
      </c>
      <c r="G188" t="s">
        <v>25</v>
      </c>
      <c r="H188" t="s">
        <v>26</v>
      </c>
      <c r="I188" s="1">
        <v>42093</v>
      </c>
      <c r="J188" t="s">
        <v>584</v>
      </c>
      <c r="K188" s="1" t="s">
        <v>500</v>
      </c>
      <c r="L188" t="s">
        <v>27</v>
      </c>
      <c r="M188" t="s">
        <v>28</v>
      </c>
      <c r="N188" t="s">
        <v>29</v>
      </c>
      <c r="O188" t="s">
        <v>30</v>
      </c>
      <c r="P188">
        <v>22</v>
      </c>
      <c r="Q188" t="s">
        <v>111</v>
      </c>
      <c r="R188" t="s">
        <v>43</v>
      </c>
      <c r="S188">
        <v>5</v>
      </c>
      <c r="T188">
        <v>4</v>
      </c>
      <c r="U188" t="s">
        <v>565</v>
      </c>
      <c r="V188" s="1">
        <v>43486</v>
      </c>
      <c r="W188">
        <v>10</v>
      </c>
      <c r="X188" t="s">
        <v>586</v>
      </c>
    </row>
    <row r="189" spans="1:24" x14ac:dyDescent="0.25">
      <c r="A189" t="s">
        <v>353</v>
      </c>
      <c r="B189">
        <v>10116</v>
      </c>
      <c r="C189" t="s">
        <v>122</v>
      </c>
      <c r="D189" s="1">
        <v>29808</v>
      </c>
      <c r="E189" t="s">
        <v>23</v>
      </c>
      <c r="F189" t="s">
        <v>24</v>
      </c>
      <c r="G189" t="s">
        <v>25</v>
      </c>
      <c r="H189" t="s">
        <v>354</v>
      </c>
      <c r="I189" s="1">
        <v>41137</v>
      </c>
      <c r="J189" t="s">
        <v>583</v>
      </c>
      <c r="K189" s="1" t="s">
        <v>500</v>
      </c>
      <c r="L189" t="s">
        <v>27</v>
      </c>
      <c r="M189" t="s">
        <v>28</v>
      </c>
      <c r="N189" t="s">
        <v>29</v>
      </c>
      <c r="O189" t="s">
        <v>124</v>
      </c>
      <c r="P189">
        <v>2</v>
      </c>
      <c r="Q189" t="s">
        <v>42</v>
      </c>
      <c r="R189" t="s">
        <v>43</v>
      </c>
      <c r="S189">
        <v>4.37</v>
      </c>
      <c r="T189">
        <v>3</v>
      </c>
      <c r="U189" t="s">
        <v>566</v>
      </c>
      <c r="V189" s="1">
        <v>43479</v>
      </c>
      <c r="W189">
        <v>2</v>
      </c>
      <c r="X189" t="s">
        <v>586</v>
      </c>
    </row>
    <row r="190" spans="1:24" x14ac:dyDescent="0.25">
      <c r="A190" t="s">
        <v>355</v>
      </c>
      <c r="B190">
        <v>10298</v>
      </c>
      <c r="C190" t="s">
        <v>46</v>
      </c>
      <c r="D190" s="1">
        <v>31227</v>
      </c>
      <c r="E190" t="s">
        <v>23</v>
      </c>
      <c r="F190" t="s">
        <v>24</v>
      </c>
      <c r="G190" t="s">
        <v>25</v>
      </c>
      <c r="H190" t="s">
        <v>26</v>
      </c>
      <c r="I190" s="1">
        <v>40770</v>
      </c>
      <c r="J190" t="s">
        <v>582</v>
      </c>
      <c r="K190" s="1">
        <v>41886</v>
      </c>
      <c r="L190" t="s">
        <v>83</v>
      </c>
      <c r="M190" t="s">
        <v>39</v>
      </c>
      <c r="N190" t="s">
        <v>29</v>
      </c>
      <c r="O190" t="s">
        <v>71</v>
      </c>
      <c r="P190">
        <v>12</v>
      </c>
      <c r="Q190" t="s">
        <v>31</v>
      </c>
      <c r="R190" t="s">
        <v>194</v>
      </c>
      <c r="S190">
        <v>3</v>
      </c>
      <c r="T190">
        <v>2</v>
      </c>
      <c r="U190" t="s">
        <v>568</v>
      </c>
      <c r="V190" s="1">
        <v>41288</v>
      </c>
      <c r="W190">
        <v>6</v>
      </c>
      <c r="X190" t="s">
        <v>583</v>
      </c>
    </row>
    <row r="191" spans="1:24" x14ac:dyDescent="0.25">
      <c r="A191" t="s">
        <v>357</v>
      </c>
      <c r="B191">
        <v>10213</v>
      </c>
      <c r="C191" t="s">
        <v>46</v>
      </c>
      <c r="D191" s="1">
        <v>33833</v>
      </c>
      <c r="E191" t="s">
        <v>23</v>
      </c>
      <c r="F191" t="s">
        <v>36</v>
      </c>
      <c r="G191" t="s">
        <v>25</v>
      </c>
      <c r="H191" t="s">
        <v>26</v>
      </c>
      <c r="I191" s="1">
        <v>40550</v>
      </c>
      <c r="J191" t="s">
        <v>582</v>
      </c>
      <c r="K191" s="1" t="s">
        <v>500</v>
      </c>
      <c r="L191" t="s">
        <v>27</v>
      </c>
      <c r="M191" t="s">
        <v>28</v>
      </c>
      <c r="N191" t="s">
        <v>29</v>
      </c>
      <c r="O191" t="s">
        <v>80</v>
      </c>
      <c r="P191">
        <v>14</v>
      </c>
      <c r="Q191" t="s">
        <v>31</v>
      </c>
      <c r="R191" t="s">
        <v>43</v>
      </c>
      <c r="S191">
        <v>3.7</v>
      </c>
      <c r="T191">
        <v>3</v>
      </c>
      <c r="U191" t="s">
        <v>566</v>
      </c>
      <c r="V191" s="1">
        <v>43473</v>
      </c>
      <c r="W191">
        <v>14</v>
      </c>
      <c r="X191" t="s">
        <v>586</v>
      </c>
    </row>
    <row r="192" spans="1:24" x14ac:dyDescent="0.25">
      <c r="A192" t="s">
        <v>358</v>
      </c>
      <c r="B192">
        <v>10288</v>
      </c>
      <c r="C192" t="s">
        <v>359</v>
      </c>
      <c r="D192" s="1">
        <v>31690</v>
      </c>
      <c r="E192" t="s">
        <v>23</v>
      </c>
      <c r="F192" t="s">
        <v>36</v>
      </c>
      <c r="G192" t="s">
        <v>99</v>
      </c>
      <c r="H192" t="s">
        <v>70</v>
      </c>
      <c r="I192" s="1">
        <v>40954</v>
      </c>
      <c r="J192" t="s">
        <v>583</v>
      </c>
      <c r="K192" s="1" t="s">
        <v>500</v>
      </c>
      <c r="L192" t="s">
        <v>27</v>
      </c>
      <c r="M192" t="s">
        <v>28</v>
      </c>
      <c r="N192" t="s">
        <v>40</v>
      </c>
      <c r="O192" t="s">
        <v>143</v>
      </c>
      <c r="P192">
        <v>5</v>
      </c>
      <c r="Q192" t="s">
        <v>72</v>
      </c>
      <c r="R192" t="s">
        <v>112</v>
      </c>
      <c r="S192">
        <v>2.39</v>
      </c>
      <c r="T192">
        <v>3</v>
      </c>
      <c r="U192" t="s">
        <v>566</v>
      </c>
      <c r="V192" s="1">
        <v>43518</v>
      </c>
      <c r="W192">
        <v>13</v>
      </c>
      <c r="X192" t="s">
        <v>586</v>
      </c>
    </row>
    <row r="193" spans="1:24" x14ac:dyDescent="0.25">
      <c r="A193" t="s">
        <v>361</v>
      </c>
      <c r="B193">
        <v>10025</v>
      </c>
      <c r="C193" t="s">
        <v>46</v>
      </c>
      <c r="D193" s="1">
        <v>25682</v>
      </c>
      <c r="E193" t="s">
        <v>47</v>
      </c>
      <c r="F193" t="s">
        <v>24</v>
      </c>
      <c r="G193" t="s">
        <v>25</v>
      </c>
      <c r="H193" t="s">
        <v>70</v>
      </c>
      <c r="I193" s="1">
        <v>41407</v>
      </c>
      <c r="J193" t="s">
        <v>583</v>
      </c>
      <c r="K193" s="1" t="s">
        <v>500</v>
      </c>
      <c r="L193" t="s">
        <v>27</v>
      </c>
      <c r="M193" t="s">
        <v>28</v>
      </c>
      <c r="N193" t="s">
        <v>29</v>
      </c>
      <c r="O193" t="s">
        <v>49</v>
      </c>
      <c r="P193">
        <v>20</v>
      </c>
      <c r="Q193" t="s">
        <v>42</v>
      </c>
      <c r="R193" t="s">
        <v>32</v>
      </c>
      <c r="S193">
        <v>4.7</v>
      </c>
      <c r="T193">
        <v>3</v>
      </c>
      <c r="U193" t="s">
        <v>566</v>
      </c>
      <c r="V193" s="1">
        <v>43479</v>
      </c>
      <c r="W193">
        <v>1</v>
      </c>
      <c r="X193" t="s">
        <v>586</v>
      </c>
    </row>
    <row r="194" spans="1:24" x14ac:dyDescent="0.25">
      <c r="A194" t="s">
        <v>362</v>
      </c>
      <c r="B194">
        <v>10223</v>
      </c>
      <c r="C194" t="s">
        <v>46</v>
      </c>
      <c r="D194" s="1">
        <v>27793</v>
      </c>
      <c r="E194" t="s">
        <v>23</v>
      </c>
      <c r="F194" t="s">
        <v>24</v>
      </c>
      <c r="G194" t="s">
        <v>25</v>
      </c>
      <c r="H194" t="s">
        <v>70</v>
      </c>
      <c r="I194" s="1">
        <v>40917</v>
      </c>
      <c r="J194" t="s">
        <v>583</v>
      </c>
      <c r="K194" s="1" t="s">
        <v>500</v>
      </c>
      <c r="L194" t="s">
        <v>27</v>
      </c>
      <c r="M194" t="s">
        <v>28</v>
      </c>
      <c r="N194" t="s">
        <v>29</v>
      </c>
      <c r="O194" t="s">
        <v>89</v>
      </c>
      <c r="P194">
        <v>18</v>
      </c>
      <c r="Q194" t="s">
        <v>72</v>
      </c>
      <c r="R194" t="s">
        <v>43</v>
      </c>
      <c r="S194">
        <v>4.0999999999999996</v>
      </c>
      <c r="T194">
        <v>4</v>
      </c>
      <c r="U194" t="s">
        <v>565</v>
      </c>
      <c r="V194" s="1">
        <v>43496</v>
      </c>
      <c r="W194">
        <v>12</v>
      </c>
      <c r="X194" t="s">
        <v>586</v>
      </c>
    </row>
    <row r="195" spans="1:24" x14ac:dyDescent="0.25">
      <c r="A195" t="s">
        <v>363</v>
      </c>
      <c r="B195">
        <v>10151</v>
      </c>
      <c r="C195" t="s">
        <v>233</v>
      </c>
      <c r="D195" s="1">
        <v>28949</v>
      </c>
      <c r="E195" t="s">
        <v>47</v>
      </c>
      <c r="F195" t="s">
        <v>36</v>
      </c>
      <c r="G195" t="s">
        <v>25</v>
      </c>
      <c r="H195" t="s">
        <v>26</v>
      </c>
      <c r="I195" s="1">
        <v>42051</v>
      </c>
      <c r="J195" t="s">
        <v>584</v>
      </c>
      <c r="K195" s="1" t="s">
        <v>500</v>
      </c>
      <c r="L195" t="s">
        <v>27</v>
      </c>
      <c r="M195" t="s">
        <v>28</v>
      </c>
      <c r="N195" t="s">
        <v>40</v>
      </c>
      <c r="O195" t="s">
        <v>76</v>
      </c>
      <c r="P195">
        <v>7</v>
      </c>
      <c r="Q195" t="s">
        <v>111</v>
      </c>
      <c r="R195" t="s">
        <v>43</v>
      </c>
      <c r="S195">
        <v>3.81</v>
      </c>
      <c r="T195">
        <v>3</v>
      </c>
      <c r="U195" t="s">
        <v>566</v>
      </c>
      <c r="V195" s="1">
        <v>43507</v>
      </c>
      <c r="W195">
        <v>6</v>
      </c>
      <c r="X195" t="s">
        <v>586</v>
      </c>
    </row>
    <row r="196" spans="1:24" x14ac:dyDescent="0.25">
      <c r="A196" t="s">
        <v>364</v>
      </c>
      <c r="B196">
        <v>10254</v>
      </c>
      <c r="C196" t="s">
        <v>22</v>
      </c>
      <c r="D196" s="1">
        <v>30870</v>
      </c>
      <c r="E196" t="s">
        <v>47</v>
      </c>
      <c r="F196" t="s">
        <v>54</v>
      </c>
      <c r="G196" t="s">
        <v>25</v>
      </c>
      <c r="H196" t="s">
        <v>26</v>
      </c>
      <c r="I196" s="1">
        <v>41365</v>
      </c>
      <c r="J196" t="s">
        <v>583</v>
      </c>
      <c r="K196" s="1" t="s">
        <v>500</v>
      </c>
      <c r="L196" t="s">
        <v>27</v>
      </c>
      <c r="M196" t="s">
        <v>28</v>
      </c>
      <c r="N196" t="s">
        <v>29</v>
      </c>
      <c r="O196" t="s">
        <v>52</v>
      </c>
      <c r="P196">
        <v>16</v>
      </c>
      <c r="Q196" t="s">
        <v>31</v>
      </c>
      <c r="R196" t="s">
        <v>43</v>
      </c>
      <c r="S196">
        <v>4.4000000000000004</v>
      </c>
      <c r="T196">
        <v>4</v>
      </c>
      <c r="U196" t="s">
        <v>565</v>
      </c>
      <c r="V196" s="1">
        <v>43482</v>
      </c>
      <c r="W196">
        <v>18</v>
      </c>
      <c r="X196" t="s">
        <v>586</v>
      </c>
    </row>
    <row r="197" spans="1:24" x14ac:dyDescent="0.25">
      <c r="A197" t="s">
        <v>365</v>
      </c>
      <c r="B197">
        <v>10120</v>
      </c>
      <c r="C197" t="s">
        <v>46</v>
      </c>
      <c r="D197" s="1">
        <v>27061</v>
      </c>
      <c r="E197" t="s">
        <v>23</v>
      </c>
      <c r="F197" t="s">
        <v>132</v>
      </c>
      <c r="G197" t="s">
        <v>25</v>
      </c>
      <c r="H197" t="s">
        <v>70</v>
      </c>
      <c r="I197" s="1">
        <v>41407</v>
      </c>
      <c r="J197" t="s">
        <v>583</v>
      </c>
      <c r="K197" s="1" t="s">
        <v>500</v>
      </c>
      <c r="L197" t="s">
        <v>27</v>
      </c>
      <c r="M197" t="s">
        <v>28</v>
      </c>
      <c r="N197" t="s">
        <v>29</v>
      </c>
      <c r="O197" t="s">
        <v>30</v>
      </c>
      <c r="P197">
        <v>22</v>
      </c>
      <c r="Q197" t="s">
        <v>31</v>
      </c>
      <c r="R197" t="s">
        <v>43</v>
      </c>
      <c r="S197">
        <v>4.29</v>
      </c>
      <c r="T197">
        <v>5</v>
      </c>
      <c r="U197" t="s">
        <v>564</v>
      </c>
      <c r="V197" s="1">
        <v>43493</v>
      </c>
      <c r="W197">
        <v>11</v>
      </c>
      <c r="X197" t="s">
        <v>586</v>
      </c>
    </row>
    <row r="198" spans="1:24" x14ac:dyDescent="0.25">
      <c r="A198" t="s">
        <v>366</v>
      </c>
      <c r="B198">
        <v>10216</v>
      </c>
      <c r="C198" t="s">
        <v>22</v>
      </c>
      <c r="D198" s="1">
        <v>29329</v>
      </c>
      <c r="E198" t="s">
        <v>23</v>
      </c>
      <c r="F198" t="s">
        <v>24</v>
      </c>
      <c r="G198" t="s">
        <v>25</v>
      </c>
      <c r="H198" t="s">
        <v>105</v>
      </c>
      <c r="I198" s="1">
        <v>41463</v>
      </c>
      <c r="J198" t="s">
        <v>583</v>
      </c>
      <c r="K198" s="1" t="s">
        <v>500</v>
      </c>
      <c r="L198" t="s">
        <v>27</v>
      </c>
      <c r="M198" t="s">
        <v>28</v>
      </c>
      <c r="N198" t="s">
        <v>29</v>
      </c>
      <c r="O198" t="s">
        <v>49</v>
      </c>
      <c r="P198">
        <v>20</v>
      </c>
      <c r="Q198" t="s">
        <v>31</v>
      </c>
      <c r="R198" t="s">
        <v>43</v>
      </c>
      <c r="S198">
        <v>4.0999999999999996</v>
      </c>
      <c r="T198">
        <v>4</v>
      </c>
      <c r="U198" t="s">
        <v>565</v>
      </c>
      <c r="V198" s="1">
        <v>43487</v>
      </c>
      <c r="W198">
        <v>13</v>
      </c>
      <c r="X198" t="s">
        <v>586</v>
      </c>
    </row>
    <row r="199" spans="1:24" x14ac:dyDescent="0.25">
      <c r="A199" t="s">
        <v>367</v>
      </c>
      <c r="B199">
        <v>10079</v>
      </c>
      <c r="C199" t="s">
        <v>327</v>
      </c>
      <c r="D199" s="1">
        <v>25683</v>
      </c>
      <c r="E199" t="s">
        <v>23</v>
      </c>
      <c r="F199" t="s">
        <v>24</v>
      </c>
      <c r="G199" t="s">
        <v>25</v>
      </c>
      <c r="H199" t="s">
        <v>105</v>
      </c>
      <c r="I199" s="1">
        <v>42776</v>
      </c>
      <c r="J199" t="s">
        <v>585</v>
      </c>
      <c r="K199" s="1" t="s">
        <v>500</v>
      </c>
      <c r="L199" t="s">
        <v>27</v>
      </c>
      <c r="M199" t="s">
        <v>28</v>
      </c>
      <c r="N199" t="s">
        <v>40</v>
      </c>
      <c r="O199" t="s">
        <v>201</v>
      </c>
      <c r="P199">
        <v>13</v>
      </c>
      <c r="Q199" t="s">
        <v>42</v>
      </c>
      <c r="R199" t="s">
        <v>43</v>
      </c>
      <c r="S199">
        <v>5</v>
      </c>
      <c r="T199">
        <v>3</v>
      </c>
      <c r="U199" t="s">
        <v>566</v>
      </c>
      <c r="V199" s="1">
        <v>43521</v>
      </c>
      <c r="W199">
        <v>17</v>
      </c>
      <c r="X199" t="s">
        <v>586</v>
      </c>
    </row>
    <row r="200" spans="1:24" x14ac:dyDescent="0.25">
      <c r="A200" t="s">
        <v>368</v>
      </c>
      <c r="B200">
        <v>10215</v>
      </c>
      <c r="C200" t="s">
        <v>22</v>
      </c>
      <c r="D200" s="1">
        <v>32630</v>
      </c>
      <c r="E200" t="s">
        <v>23</v>
      </c>
      <c r="F200" t="s">
        <v>24</v>
      </c>
      <c r="G200" t="s">
        <v>25</v>
      </c>
      <c r="H200" t="s">
        <v>70</v>
      </c>
      <c r="I200" s="1">
        <v>40812</v>
      </c>
      <c r="J200" t="s">
        <v>582</v>
      </c>
      <c r="K200" s="1">
        <v>41733</v>
      </c>
      <c r="L200" t="s">
        <v>55</v>
      </c>
      <c r="M200" t="s">
        <v>39</v>
      </c>
      <c r="N200" t="s">
        <v>29</v>
      </c>
      <c r="O200" t="s">
        <v>56</v>
      </c>
      <c r="P200">
        <v>39</v>
      </c>
      <c r="Q200" t="s">
        <v>72</v>
      </c>
      <c r="R200" t="s">
        <v>43</v>
      </c>
      <c r="S200">
        <v>4.3</v>
      </c>
      <c r="T200">
        <v>3</v>
      </c>
      <c r="U200" t="s">
        <v>566</v>
      </c>
      <c r="V200" s="1">
        <v>41335</v>
      </c>
      <c r="W200">
        <v>19</v>
      </c>
      <c r="X200" t="s">
        <v>583</v>
      </c>
    </row>
    <row r="201" spans="1:24" x14ac:dyDescent="0.25">
      <c r="A201" t="s">
        <v>369</v>
      </c>
      <c r="B201">
        <v>10185</v>
      </c>
      <c r="C201" t="s">
        <v>22</v>
      </c>
      <c r="D201" s="1">
        <v>30403</v>
      </c>
      <c r="E201" t="s">
        <v>23</v>
      </c>
      <c r="F201" t="s">
        <v>36</v>
      </c>
      <c r="G201" t="s">
        <v>25</v>
      </c>
      <c r="H201" t="s">
        <v>26</v>
      </c>
      <c r="I201" s="1">
        <v>41365</v>
      </c>
      <c r="J201" t="s">
        <v>583</v>
      </c>
      <c r="K201" s="1">
        <v>42515</v>
      </c>
      <c r="L201" t="s">
        <v>196</v>
      </c>
      <c r="M201" t="s">
        <v>39</v>
      </c>
      <c r="N201" t="s">
        <v>29</v>
      </c>
      <c r="O201" t="s">
        <v>59</v>
      </c>
      <c r="P201">
        <v>11</v>
      </c>
      <c r="Q201" t="s">
        <v>67</v>
      </c>
      <c r="R201" t="s">
        <v>43</v>
      </c>
      <c r="S201">
        <v>3.18</v>
      </c>
      <c r="T201">
        <v>3</v>
      </c>
      <c r="U201" t="s">
        <v>566</v>
      </c>
      <c r="V201" s="1">
        <v>42435</v>
      </c>
      <c r="W201">
        <v>10</v>
      </c>
      <c r="X201" t="s">
        <v>585</v>
      </c>
    </row>
    <row r="202" spans="1:24" x14ac:dyDescent="0.25">
      <c r="A202" t="s">
        <v>370</v>
      </c>
      <c r="B202">
        <v>10063</v>
      </c>
      <c r="C202" t="s">
        <v>22</v>
      </c>
      <c r="D202" s="1">
        <v>28223</v>
      </c>
      <c r="E202" t="s">
        <v>23</v>
      </c>
      <c r="F202" t="s">
        <v>36</v>
      </c>
      <c r="G202" t="s">
        <v>25</v>
      </c>
      <c r="H202" t="s">
        <v>26</v>
      </c>
      <c r="I202" s="1">
        <v>41771</v>
      </c>
      <c r="J202" t="s">
        <v>584</v>
      </c>
      <c r="K202" s="1" t="s">
        <v>500</v>
      </c>
      <c r="L202" t="s">
        <v>27</v>
      </c>
      <c r="M202" t="s">
        <v>28</v>
      </c>
      <c r="N202" t="s">
        <v>29</v>
      </c>
      <c r="O202" t="s">
        <v>66</v>
      </c>
      <c r="P202">
        <v>19</v>
      </c>
      <c r="Q202" t="s">
        <v>31</v>
      </c>
      <c r="R202" t="s">
        <v>43</v>
      </c>
      <c r="S202">
        <v>5</v>
      </c>
      <c r="T202">
        <v>5</v>
      </c>
      <c r="U202" t="s">
        <v>564</v>
      </c>
      <c r="V202" s="1">
        <v>43514</v>
      </c>
      <c r="W202">
        <v>11</v>
      </c>
      <c r="X202" t="s">
        <v>586</v>
      </c>
    </row>
    <row r="203" spans="1:24" x14ac:dyDescent="0.25">
      <c r="A203" t="s">
        <v>371</v>
      </c>
      <c r="B203">
        <v>10037</v>
      </c>
      <c r="C203" t="s">
        <v>22</v>
      </c>
      <c r="D203" s="1">
        <v>24626</v>
      </c>
      <c r="E203" t="s">
        <v>47</v>
      </c>
      <c r="F203" t="s">
        <v>132</v>
      </c>
      <c r="G203" t="s">
        <v>25</v>
      </c>
      <c r="H203" t="s">
        <v>70</v>
      </c>
      <c r="I203" s="1">
        <v>41365</v>
      </c>
      <c r="J203" t="s">
        <v>583</v>
      </c>
      <c r="K203" s="1" t="s">
        <v>500</v>
      </c>
      <c r="L203" t="s">
        <v>27</v>
      </c>
      <c r="M203" t="s">
        <v>28</v>
      </c>
      <c r="N203" t="s">
        <v>29</v>
      </c>
      <c r="O203" t="s">
        <v>71</v>
      </c>
      <c r="P203">
        <v>12</v>
      </c>
      <c r="Q203" t="s">
        <v>72</v>
      </c>
      <c r="R203" t="s">
        <v>32</v>
      </c>
      <c r="S203">
        <v>4</v>
      </c>
      <c r="T203">
        <v>3</v>
      </c>
      <c r="U203" t="s">
        <v>566</v>
      </c>
      <c r="V203" s="1">
        <v>43509</v>
      </c>
      <c r="W203">
        <v>12</v>
      </c>
      <c r="X203" t="s">
        <v>586</v>
      </c>
    </row>
    <row r="204" spans="1:24" x14ac:dyDescent="0.25">
      <c r="A204" t="s">
        <v>372</v>
      </c>
      <c r="B204">
        <v>10042</v>
      </c>
      <c r="C204" t="s">
        <v>135</v>
      </c>
      <c r="D204" s="1">
        <v>32598</v>
      </c>
      <c r="E204" t="s">
        <v>47</v>
      </c>
      <c r="F204" t="s">
        <v>24</v>
      </c>
      <c r="G204" t="s">
        <v>25</v>
      </c>
      <c r="H204" t="s">
        <v>87</v>
      </c>
      <c r="I204" s="1">
        <v>41463</v>
      </c>
      <c r="J204" t="s">
        <v>583</v>
      </c>
      <c r="K204" s="1" t="s">
        <v>500</v>
      </c>
      <c r="L204" t="s">
        <v>27</v>
      </c>
      <c r="M204" t="s">
        <v>28</v>
      </c>
      <c r="N204" t="s">
        <v>136</v>
      </c>
      <c r="O204" t="s">
        <v>158</v>
      </c>
      <c r="P204">
        <v>21</v>
      </c>
      <c r="Q204" t="s">
        <v>42</v>
      </c>
      <c r="R204" t="s">
        <v>43</v>
      </c>
      <c r="S204">
        <v>5</v>
      </c>
      <c r="T204">
        <v>5</v>
      </c>
      <c r="U204" t="s">
        <v>564</v>
      </c>
      <c r="V204" s="1">
        <v>43490</v>
      </c>
      <c r="W204">
        <v>2</v>
      </c>
      <c r="X204" t="s">
        <v>586</v>
      </c>
    </row>
    <row r="205" spans="1:24" x14ac:dyDescent="0.25">
      <c r="A205" t="s">
        <v>373</v>
      </c>
      <c r="B205">
        <v>10206</v>
      </c>
      <c r="C205" t="s">
        <v>22</v>
      </c>
      <c r="D205" s="1">
        <v>30870</v>
      </c>
      <c r="E205" t="s">
        <v>47</v>
      </c>
      <c r="F205" t="s">
        <v>24</v>
      </c>
      <c r="G205" t="s">
        <v>25</v>
      </c>
      <c r="H205" t="s">
        <v>26</v>
      </c>
      <c r="I205" s="1">
        <v>41463</v>
      </c>
      <c r="J205" t="s">
        <v>583</v>
      </c>
      <c r="K205" s="1" t="s">
        <v>500</v>
      </c>
      <c r="L205" t="s">
        <v>27</v>
      </c>
      <c r="M205" t="s">
        <v>28</v>
      </c>
      <c r="N205" t="s">
        <v>29</v>
      </c>
      <c r="O205" t="s">
        <v>80</v>
      </c>
      <c r="P205">
        <v>14</v>
      </c>
      <c r="Q205" t="s">
        <v>31</v>
      </c>
      <c r="R205" t="s">
        <v>43</v>
      </c>
      <c r="S205">
        <v>3.6</v>
      </c>
      <c r="T205">
        <v>5</v>
      </c>
      <c r="U205" t="s">
        <v>564</v>
      </c>
      <c r="V205" s="1">
        <v>43467</v>
      </c>
      <c r="W205">
        <v>4</v>
      </c>
      <c r="X205" t="s">
        <v>586</v>
      </c>
    </row>
    <row r="206" spans="1:24" x14ac:dyDescent="0.25">
      <c r="A206" t="s">
        <v>374</v>
      </c>
      <c r="B206">
        <v>10104</v>
      </c>
      <c r="C206" t="s">
        <v>46</v>
      </c>
      <c r="D206" s="1">
        <v>31070</v>
      </c>
      <c r="E206" t="s">
        <v>47</v>
      </c>
      <c r="F206" t="s">
        <v>24</v>
      </c>
      <c r="G206" t="s">
        <v>25</v>
      </c>
      <c r="H206" t="s">
        <v>26</v>
      </c>
      <c r="I206" s="1">
        <v>41649</v>
      </c>
      <c r="J206" t="s">
        <v>584</v>
      </c>
      <c r="K206" s="1" t="s">
        <v>500</v>
      </c>
      <c r="L206" t="s">
        <v>27</v>
      </c>
      <c r="M206" t="s">
        <v>28</v>
      </c>
      <c r="N206" t="s">
        <v>29</v>
      </c>
      <c r="O206" t="s">
        <v>52</v>
      </c>
      <c r="P206">
        <v>16</v>
      </c>
      <c r="Q206" t="s">
        <v>42</v>
      </c>
      <c r="R206" t="s">
        <v>43</v>
      </c>
      <c r="S206">
        <v>4.53</v>
      </c>
      <c r="T206">
        <v>5</v>
      </c>
      <c r="U206" t="s">
        <v>564</v>
      </c>
      <c r="V206" s="1">
        <v>43481</v>
      </c>
      <c r="W206">
        <v>5</v>
      </c>
      <c r="X206" t="s">
        <v>586</v>
      </c>
    </row>
    <row r="207" spans="1:24" x14ac:dyDescent="0.25">
      <c r="A207" t="s">
        <v>375</v>
      </c>
      <c r="B207">
        <v>10303</v>
      </c>
      <c r="C207" t="s">
        <v>22</v>
      </c>
      <c r="D207" s="1">
        <v>29494</v>
      </c>
      <c r="E207" t="s">
        <v>47</v>
      </c>
      <c r="F207" t="s">
        <v>24</v>
      </c>
      <c r="G207" t="s">
        <v>25</v>
      </c>
      <c r="H207" t="s">
        <v>87</v>
      </c>
      <c r="I207" s="1">
        <v>41729</v>
      </c>
      <c r="J207" t="s">
        <v>584</v>
      </c>
      <c r="K207" s="1">
        <v>43221</v>
      </c>
      <c r="L207" t="s">
        <v>102</v>
      </c>
      <c r="M207" t="s">
        <v>95</v>
      </c>
      <c r="N207" t="s">
        <v>29</v>
      </c>
      <c r="O207" t="s">
        <v>49</v>
      </c>
      <c r="P207">
        <v>20</v>
      </c>
      <c r="Q207" t="s">
        <v>31</v>
      </c>
      <c r="R207" t="s">
        <v>194</v>
      </c>
      <c r="S207">
        <v>2.33</v>
      </c>
      <c r="T207">
        <v>2</v>
      </c>
      <c r="U207" t="s">
        <v>568</v>
      </c>
      <c r="V207" s="1">
        <v>43168</v>
      </c>
      <c r="W207">
        <v>3</v>
      </c>
      <c r="X207" t="s">
        <v>586</v>
      </c>
    </row>
    <row r="208" spans="1:24" x14ac:dyDescent="0.25">
      <c r="A208" t="s">
        <v>376</v>
      </c>
      <c r="B208">
        <v>10078</v>
      </c>
      <c r="C208" t="s">
        <v>46</v>
      </c>
      <c r="D208" s="1">
        <v>19035</v>
      </c>
      <c r="E208" t="s">
        <v>47</v>
      </c>
      <c r="F208" t="s">
        <v>36</v>
      </c>
      <c r="G208" t="s">
        <v>25</v>
      </c>
      <c r="H208" t="s">
        <v>105</v>
      </c>
      <c r="I208" s="1">
        <v>41043</v>
      </c>
      <c r="J208" t="s">
        <v>583</v>
      </c>
      <c r="K208" s="1">
        <v>41505</v>
      </c>
      <c r="L208" t="s">
        <v>83</v>
      </c>
      <c r="M208" t="s">
        <v>39</v>
      </c>
      <c r="N208" t="s">
        <v>29</v>
      </c>
      <c r="O208" t="s">
        <v>56</v>
      </c>
      <c r="P208">
        <v>39</v>
      </c>
      <c r="Q208" t="s">
        <v>31</v>
      </c>
      <c r="R208" t="s">
        <v>43</v>
      </c>
      <c r="S208">
        <v>5</v>
      </c>
      <c r="T208">
        <v>3</v>
      </c>
      <c r="U208" t="s">
        <v>566</v>
      </c>
      <c r="V208" s="1">
        <v>41457</v>
      </c>
      <c r="W208">
        <v>17</v>
      </c>
      <c r="X208" t="s">
        <v>583</v>
      </c>
    </row>
    <row r="209" spans="1:24" x14ac:dyDescent="0.25">
      <c r="A209" t="s">
        <v>377</v>
      </c>
      <c r="B209">
        <v>10121</v>
      </c>
      <c r="C209" t="s">
        <v>135</v>
      </c>
      <c r="D209" s="1">
        <v>33004</v>
      </c>
      <c r="E209" t="s">
        <v>47</v>
      </c>
      <c r="F209" t="s">
        <v>24</v>
      </c>
      <c r="G209" t="s">
        <v>25</v>
      </c>
      <c r="H209" t="s">
        <v>26</v>
      </c>
      <c r="I209" s="1">
        <v>41547</v>
      </c>
      <c r="J209" t="s">
        <v>583</v>
      </c>
      <c r="K209" s="1" t="s">
        <v>500</v>
      </c>
      <c r="L209" t="s">
        <v>27</v>
      </c>
      <c r="M209" t="s">
        <v>28</v>
      </c>
      <c r="N209" t="s">
        <v>136</v>
      </c>
      <c r="O209" t="s">
        <v>158</v>
      </c>
      <c r="P209">
        <v>21</v>
      </c>
      <c r="Q209" t="s">
        <v>42</v>
      </c>
      <c r="R209" t="s">
        <v>43</v>
      </c>
      <c r="S209">
        <v>4.28</v>
      </c>
      <c r="T209">
        <v>3</v>
      </c>
      <c r="U209" t="s">
        <v>566</v>
      </c>
      <c r="V209" s="1">
        <v>43490</v>
      </c>
      <c r="W209">
        <v>1</v>
      </c>
      <c r="X209" t="s">
        <v>586</v>
      </c>
    </row>
    <row r="210" spans="1:24" x14ac:dyDescent="0.25">
      <c r="A210" t="s">
        <v>378</v>
      </c>
      <c r="B210">
        <v>10021</v>
      </c>
      <c r="C210" t="s">
        <v>22</v>
      </c>
      <c r="D210" s="1">
        <v>27801</v>
      </c>
      <c r="E210" t="s">
        <v>23</v>
      </c>
      <c r="F210" t="s">
        <v>36</v>
      </c>
      <c r="G210" t="s">
        <v>25</v>
      </c>
      <c r="H210" t="s">
        <v>26</v>
      </c>
      <c r="I210" s="1">
        <v>41547</v>
      </c>
      <c r="J210" t="s">
        <v>583</v>
      </c>
      <c r="K210" s="1" t="s">
        <v>500</v>
      </c>
      <c r="L210" t="s">
        <v>27</v>
      </c>
      <c r="M210" t="s">
        <v>28</v>
      </c>
      <c r="N210" t="s">
        <v>29</v>
      </c>
      <c r="O210" t="s">
        <v>89</v>
      </c>
      <c r="P210">
        <v>18</v>
      </c>
      <c r="Q210" t="s">
        <v>31</v>
      </c>
      <c r="R210" t="s">
        <v>32</v>
      </c>
      <c r="S210">
        <v>5</v>
      </c>
      <c r="T210">
        <v>3</v>
      </c>
      <c r="U210" t="s">
        <v>566</v>
      </c>
      <c r="V210" s="1">
        <v>43503</v>
      </c>
      <c r="W210">
        <v>13</v>
      </c>
      <c r="X210" t="s">
        <v>586</v>
      </c>
    </row>
    <row r="211" spans="1:24" x14ac:dyDescent="0.25">
      <c r="A211" t="s">
        <v>379</v>
      </c>
      <c r="B211">
        <v>10281</v>
      </c>
      <c r="C211" t="s">
        <v>22</v>
      </c>
      <c r="D211" s="1">
        <v>28879</v>
      </c>
      <c r="E211" t="s">
        <v>23</v>
      </c>
      <c r="F211" t="s">
        <v>24</v>
      </c>
      <c r="G211" t="s">
        <v>25</v>
      </c>
      <c r="H211" t="s">
        <v>70</v>
      </c>
      <c r="I211" s="1">
        <v>41687</v>
      </c>
      <c r="J211" t="s">
        <v>584</v>
      </c>
      <c r="K211" s="1" t="s">
        <v>500</v>
      </c>
      <c r="L211" t="s">
        <v>27</v>
      </c>
      <c r="M211" t="s">
        <v>28</v>
      </c>
      <c r="N211" t="s">
        <v>29</v>
      </c>
      <c r="O211" t="s">
        <v>30</v>
      </c>
      <c r="P211">
        <v>22</v>
      </c>
      <c r="Q211" t="s">
        <v>31</v>
      </c>
      <c r="R211" t="s">
        <v>112</v>
      </c>
      <c r="S211">
        <v>4.25</v>
      </c>
      <c r="T211">
        <v>3</v>
      </c>
      <c r="U211" t="s">
        <v>566</v>
      </c>
      <c r="V211" s="1">
        <v>43500</v>
      </c>
      <c r="W211">
        <v>6</v>
      </c>
      <c r="X211" t="s">
        <v>586</v>
      </c>
    </row>
    <row r="212" spans="1:24" x14ac:dyDescent="0.25">
      <c r="A212" t="s">
        <v>380</v>
      </c>
      <c r="B212">
        <v>10041</v>
      </c>
      <c r="C212" t="s">
        <v>135</v>
      </c>
      <c r="D212" s="1">
        <v>30090</v>
      </c>
      <c r="E212" t="s">
        <v>23</v>
      </c>
      <c r="F212" t="s">
        <v>24</v>
      </c>
      <c r="G212" t="s">
        <v>25</v>
      </c>
      <c r="H212" t="s">
        <v>26</v>
      </c>
      <c r="I212" s="1">
        <v>42009</v>
      </c>
      <c r="J212" t="s">
        <v>584</v>
      </c>
      <c r="K212" s="1" t="s">
        <v>500</v>
      </c>
      <c r="L212" t="s">
        <v>27</v>
      </c>
      <c r="M212" t="s">
        <v>28</v>
      </c>
      <c r="N212" t="s">
        <v>136</v>
      </c>
      <c r="O212" t="s">
        <v>137</v>
      </c>
      <c r="P212">
        <v>17</v>
      </c>
      <c r="Q212" t="s">
        <v>205</v>
      </c>
      <c r="R212" t="s">
        <v>43</v>
      </c>
      <c r="S212">
        <v>5</v>
      </c>
      <c r="T212">
        <v>5</v>
      </c>
      <c r="U212" t="s">
        <v>564</v>
      </c>
      <c r="V212" s="1">
        <v>43479</v>
      </c>
      <c r="W212">
        <v>18</v>
      </c>
      <c r="X212" t="s">
        <v>586</v>
      </c>
    </row>
    <row r="213" spans="1:24" x14ac:dyDescent="0.25">
      <c r="A213" t="s">
        <v>381</v>
      </c>
      <c r="B213">
        <v>10148</v>
      </c>
      <c r="C213" t="s">
        <v>22</v>
      </c>
      <c r="D213" s="1">
        <v>28976</v>
      </c>
      <c r="E213" t="s">
        <v>47</v>
      </c>
      <c r="F213" t="s">
        <v>36</v>
      </c>
      <c r="G213" t="s">
        <v>25</v>
      </c>
      <c r="H213" t="s">
        <v>26</v>
      </c>
      <c r="I213" s="1">
        <v>40581</v>
      </c>
      <c r="J213" t="s">
        <v>582</v>
      </c>
      <c r="K213" s="1">
        <v>41651</v>
      </c>
      <c r="L213" t="s">
        <v>79</v>
      </c>
      <c r="M213" t="s">
        <v>39</v>
      </c>
      <c r="N213" t="s">
        <v>29</v>
      </c>
      <c r="O213" t="s">
        <v>52</v>
      </c>
      <c r="P213">
        <v>16</v>
      </c>
      <c r="Q213" t="s">
        <v>57</v>
      </c>
      <c r="R213" t="s">
        <v>43</v>
      </c>
      <c r="S213">
        <v>3.89</v>
      </c>
      <c r="T213">
        <v>4</v>
      </c>
      <c r="U213" t="s">
        <v>565</v>
      </c>
      <c r="V213" s="1">
        <v>41337</v>
      </c>
      <c r="W213">
        <v>7</v>
      </c>
      <c r="X213" t="s">
        <v>583</v>
      </c>
    </row>
    <row r="214" spans="1:24" x14ac:dyDescent="0.25">
      <c r="A214" t="s">
        <v>382</v>
      </c>
      <c r="B214">
        <v>10005</v>
      </c>
      <c r="C214" t="s">
        <v>61</v>
      </c>
      <c r="D214" s="1">
        <v>28906</v>
      </c>
      <c r="E214" t="s">
        <v>23</v>
      </c>
      <c r="F214" t="s">
        <v>24</v>
      </c>
      <c r="G214" t="s">
        <v>25</v>
      </c>
      <c r="H214" t="s">
        <v>70</v>
      </c>
      <c r="I214" s="1">
        <v>40550</v>
      </c>
      <c r="J214" t="s">
        <v>582</v>
      </c>
      <c r="K214" s="1">
        <v>42254</v>
      </c>
      <c r="L214" t="s">
        <v>79</v>
      </c>
      <c r="M214" t="s">
        <v>39</v>
      </c>
      <c r="N214" t="s">
        <v>62</v>
      </c>
      <c r="O214" t="s">
        <v>63</v>
      </c>
      <c r="P214">
        <v>10</v>
      </c>
      <c r="Q214" t="s">
        <v>72</v>
      </c>
      <c r="R214" t="s">
        <v>32</v>
      </c>
      <c r="S214">
        <v>5</v>
      </c>
      <c r="T214">
        <v>5</v>
      </c>
      <c r="U214" t="s">
        <v>564</v>
      </c>
      <c r="V214" s="1">
        <v>42232</v>
      </c>
      <c r="W214">
        <v>13</v>
      </c>
      <c r="X214" t="s">
        <v>584</v>
      </c>
    </row>
    <row r="215" spans="1:24" x14ac:dyDescent="0.25">
      <c r="A215" t="s">
        <v>384</v>
      </c>
      <c r="B215">
        <v>10259</v>
      </c>
      <c r="C215" t="s">
        <v>85</v>
      </c>
      <c r="D215" s="1">
        <v>30930</v>
      </c>
      <c r="E215" t="s">
        <v>23</v>
      </c>
      <c r="F215" t="s">
        <v>36</v>
      </c>
      <c r="G215" t="s">
        <v>25</v>
      </c>
      <c r="H215" t="s">
        <v>26</v>
      </c>
      <c r="I215" s="1">
        <v>41671</v>
      </c>
      <c r="J215" t="s">
        <v>584</v>
      </c>
      <c r="K215" s="1">
        <v>42491</v>
      </c>
      <c r="L215" t="s">
        <v>102</v>
      </c>
      <c r="M215" t="s">
        <v>39</v>
      </c>
      <c r="N215" t="s">
        <v>40</v>
      </c>
      <c r="O215" t="s">
        <v>41</v>
      </c>
      <c r="P215">
        <v>4</v>
      </c>
      <c r="Q215" t="s">
        <v>67</v>
      </c>
      <c r="R215" t="s">
        <v>43</v>
      </c>
      <c r="S215">
        <v>4.7</v>
      </c>
      <c r="T215">
        <v>4</v>
      </c>
      <c r="U215" t="s">
        <v>565</v>
      </c>
      <c r="V215" s="1">
        <v>42385</v>
      </c>
      <c r="W215">
        <v>19</v>
      </c>
      <c r="X215" t="s">
        <v>585</v>
      </c>
    </row>
    <row r="216" spans="1:24" x14ac:dyDescent="0.25">
      <c r="A216" t="s">
        <v>386</v>
      </c>
      <c r="B216">
        <v>10286</v>
      </c>
      <c r="C216" t="s">
        <v>22</v>
      </c>
      <c r="D216" s="1">
        <v>32219</v>
      </c>
      <c r="E216" t="s">
        <v>23</v>
      </c>
      <c r="F216" t="s">
        <v>24</v>
      </c>
      <c r="G216" t="s">
        <v>25</v>
      </c>
      <c r="H216" t="s">
        <v>70</v>
      </c>
      <c r="I216" s="1">
        <v>40553</v>
      </c>
      <c r="J216" t="s">
        <v>582</v>
      </c>
      <c r="K216" s="1">
        <v>43097</v>
      </c>
      <c r="L216" t="s">
        <v>38</v>
      </c>
      <c r="M216" t="s">
        <v>39</v>
      </c>
      <c r="N216" t="s">
        <v>29</v>
      </c>
      <c r="O216" t="s">
        <v>56</v>
      </c>
      <c r="P216">
        <v>39</v>
      </c>
      <c r="Q216" t="s">
        <v>57</v>
      </c>
      <c r="R216" t="s">
        <v>112</v>
      </c>
      <c r="S216">
        <v>3.54</v>
      </c>
      <c r="T216">
        <v>5</v>
      </c>
      <c r="U216" t="s">
        <v>564</v>
      </c>
      <c r="V216" s="1">
        <v>42831</v>
      </c>
      <c r="W216">
        <v>15</v>
      </c>
      <c r="X216" t="s">
        <v>585</v>
      </c>
    </row>
    <row r="217" spans="1:24" x14ac:dyDescent="0.25">
      <c r="A217" t="s">
        <v>387</v>
      </c>
      <c r="B217">
        <v>10297</v>
      </c>
      <c r="C217" t="s">
        <v>46</v>
      </c>
      <c r="D217" s="1">
        <v>32707</v>
      </c>
      <c r="E217" t="s">
        <v>47</v>
      </c>
      <c r="F217" t="s">
        <v>36</v>
      </c>
      <c r="G217" t="s">
        <v>25</v>
      </c>
      <c r="H217" t="s">
        <v>105</v>
      </c>
      <c r="I217" s="1">
        <v>40729</v>
      </c>
      <c r="J217" t="s">
        <v>582</v>
      </c>
      <c r="K217" s="1">
        <v>42262</v>
      </c>
      <c r="L217" t="s">
        <v>83</v>
      </c>
      <c r="M217" t="s">
        <v>39</v>
      </c>
      <c r="N217" t="s">
        <v>29</v>
      </c>
      <c r="O217" t="s">
        <v>59</v>
      </c>
      <c r="P217">
        <v>11</v>
      </c>
      <c r="Q217" t="s">
        <v>111</v>
      </c>
      <c r="R217" t="s">
        <v>112</v>
      </c>
      <c r="S217">
        <v>2.4</v>
      </c>
      <c r="T217">
        <v>5</v>
      </c>
      <c r="U217" t="s">
        <v>564</v>
      </c>
      <c r="V217" s="1">
        <v>42041</v>
      </c>
      <c r="W217">
        <v>2</v>
      </c>
      <c r="X217" t="s">
        <v>584</v>
      </c>
    </row>
    <row r="218" spans="1:24" x14ac:dyDescent="0.25">
      <c r="A218" t="s">
        <v>388</v>
      </c>
      <c r="B218">
        <v>10171</v>
      </c>
      <c r="C218" t="s">
        <v>22</v>
      </c>
      <c r="D218" s="1">
        <v>31613</v>
      </c>
      <c r="E218" t="s">
        <v>47</v>
      </c>
      <c r="F218" t="s">
        <v>24</v>
      </c>
      <c r="G218" t="s">
        <v>25</v>
      </c>
      <c r="H218" t="s">
        <v>26</v>
      </c>
      <c r="I218" s="1">
        <v>40679</v>
      </c>
      <c r="J218" t="s">
        <v>582</v>
      </c>
      <c r="K218" s="1">
        <v>42302</v>
      </c>
      <c r="L218" t="s">
        <v>389</v>
      </c>
      <c r="M218" t="s">
        <v>39</v>
      </c>
      <c r="N218" t="s">
        <v>29</v>
      </c>
      <c r="O218" t="s">
        <v>59</v>
      </c>
      <c r="P218">
        <v>11</v>
      </c>
      <c r="Q218" t="s">
        <v>31</v>
      </c>
      <c r="R218" t="s">
        <v>43</v>
      </c>
      <c r="S218">
        <v>3.45</v>
      </c>
      <c r="T218">
        <v>4</v>
      </c>
      <c r="U218" t="s">
        <v>565</v>
      </c>
      <c r="V218" s="1">
        <v>41772</v>
      </c>
      <c r="W218">
        <v>5</v>
      </c>
      <c r="X218" t="s">
        <v>584</v>
      </c>
    </row>
    <row r="219" spans="1:24" x14ac:dyDescent="0.25">
      <c r="A219" t="s">
        <v>391</v>
      </c>
      <c r="B219">
        <v>10032</v>
      </c>
      <c r="C219" t="s">
        <v>46</v>
      </c>
      <c r="D219" s="1">
        <v>31641</v>
      </c>
      <c r="E219" t="s">
        <v>47</v>
      </c>
      <c r="F219" t="s">
        <v>36</v>
      </c>
      <c r="G219" t="s">
        <v>25</v>
      </c>
      <c r="H219" t="s">
        <v>26</v>
      </c>
      <c r="I219" s="1">
        <v>40679</v>
      </c>
      <c r="J219" t="s">
        <v>582</v>
      </c>
      <c r="K219" s="1">
        <v>41309</v>
      </c>
      <c r="L219" t="s">
        <v>196</v>
      </c>
      <c r="M219" t="s">
        <v>39</v>
      </c>
      <c r="N219" t="s">
        <v>29</v>
      </c>
      <c r="O219" t="s">
        <v>66</v>
      </c>
      <c r="P219">
        <v>19</v>
      </c>
      <c r="Q219" t="s">
        <v>42</v>
      </c>
      <c r="R219" t="s">
        <v>32</v>
      </c>
      <c r="S219">
        <v>4.2</v>
      </c>
      <c r="T219">
        <v>5</v>
      </c>
      <c r="U219" t="s">
        <v>564</v>
      </c>
      <c r="V219" s="1">
        <v>41284</v>
      </c>
      <c r="W219">
        <v>12</v>
      </c>
      <c r="X219" t="s">
        <v>583</v>
      </c>
    </row>
    <row r="220" spans="1:24" x14ac:dyDescent="0.25">
      <c r="A220" t="s">
        <v>392</v>
      </c>
      <c r="B220">
        <v>10130</v>
      </c>
      <c r="C220" t="s">
        <v>122</v>
      </c>
      <c r="D220" s="1">
        <v>28254</v>
      </c>
      <c r="E220" t="s">
        <v>47</v>
      </c>
      <c r="F220" t="s">
        <v>36</v>
      </c>
      <c r="G220" t="s">
        <v>25</v>
      </c>
      <c r="H220" t="s">
        <v>26</v>
      </c>
      <c r="I220" s="1">
        <v>40476</v>
      </c>
      <c r="J220" t="s">
        <v>582</v>
      </c>
      <c r="K220" s="1">
        <v>42508</v>
      </c>
      <c r="L220" t="s">
        <v>79</v>
      </c>
      <c r="M220" t="s">
        <v>39</v>
      </c>
      <c r="N220" t="s">
        <v>29</v>
      </c>
      <c r="O220" t="s">
        <v>124</v>
      </c>
      <c r="P220">
        <v>2</v>
      </c>
      <c r="Q220" t="s">
        <v>42</v>
      </c>
      <c r="R220" t="s">
        <v>43</v>
      </c>
      <c r="S220">
        <v>4.16</v>
      </c>
      <c r="T220">
        <v>5</v>
      </c>
      <c r="U220" t="s">
        <v>564</v>
      </c>
      <c r="V220" s="1">
        <v>42068</v>
      </c>
      <c r="W220">
        <v>6</v>
      </c>
      <c r="X220" t="s">
        <v>584</v>
      </c>
    </row>
    <row r="221" spans="1:24" x14ac:dyDescent="0.25">
      <c r="A221" t="s">
        <v>393</v>
      </c>
      <c r="B221">
        <v>10217</v>
      </c>
      <c r="C221" t="s">
        <v>46</v>
      </c>
      <c r="D221" s="1">
        <v>28924</v>
      </c>
      <c r="E221" t="s">
        <v>47</v>
      </c>
      <c r="F221" t="s">
        <v>36</v>
      </c>
      <c r="G221" t="s">
        <v>99</v>
      </c>
      <c r="H221" t="s">
        <v>105</v>
      </c>
      <c r="I221" s="1">
        <v>41001</v>
      </c>
      <c r="J221" t="s">
        <v>583</v>
      </c>
      <c r="K221" s="1" t="s">
        <v>500</v>
      </c>
      <c r="L221" t="s">
        <v>27</v>
      </c>
      <c r="M221" t="s">
        <v>28</v>
      </c>
      <c r="N221" t="s">
        <v>29</v>
      </c>
      <c r="O221" t="s">
        <v>71</v>
      </c>
      <c r="P221">
        <v>12</v>
      </c>
      <c r="Q221" t="s">
        <v>31</v>
      </c>
      <c r="R221" t="s">
        <v>43</v>
      </c>
      <c r="S221">
        <v>4.3</v>
      </c>
      <c r="T221">
        <v>3</v>
      </c>
      <c r="U221" t="s">
        <v>566</v>
      </c>
      <c r="V221" s="1">
        <v>43479</v>
      </c>
      <c r="W221">
        <v>14</v>
      </c>
      <c r="X221" t="s">
        <v>586</v>
      </c>
    </row>
    <row r="222" spans="1:24" x14ac:dyDescent="0.25">
      <c r="A222" t="s">
        <v>394</v>
      </c>
      <c r="B222">
        <v>10016</v>
      </c>
      <c r="C222" t="s">
        <v>85</v>
      </c>
      <c r="D222" s="1">
        <v>30941</v>
      </c>
      <c r="E222" t="s">
        <v>47</v>
      </c>
      <c r="F222" t="s">
        <v>36</v>
      </c>
      <c r="G222" t="s">
        <v>25</v>
      </c>
      <c r="H222" t="s">
        <v>70</v>
      </c>
      <c r="I222" s="1">
        <v>41649</v>
      </c>
      <c r="J222" t="s">
        <v>584</v>
      </c>
      <c r="K222" s="1" t="s">
        <v>500</v>
      </c>
      <c r="L222" t="s">
        <v>27</v>
      </c>
      <c r="M222" t="s">
        <v>28</v>
      </c>
      <c r="N222" t="s">
        <v>40</v>
      </c>
      <c r="O222" t="s">
        <v>41</v>
      </c>
      <c r="P222">
        <v>4</v>
      </c>
      <c r="Q222" t="s">
        <v>67</v>
      </c>
      <c r="R222" t="s">
        <v>32</v>
      </c>
      <c r="S222">
        <v>4.5999999999999996</v>
      </c>
      <c r="T222">
        <v>5</v>
      </c>
      <c r="U222" t="s">
        <v>564</v>
      </c>
      <c r="V222" s="1">
        <v>43469</v>
      </c>
      <c r="W222">
        <v>16</v>
      </c>
      <c r="X222" t="s">
        <v>586</v>
      </c>
    </row>
    <row r="223" spans="1:24" x14ac:dyDescent="0.25">
      <c r="A223" t="s">
        <v>395</v>
      </c>
      <c r="B223">
        <v>10050</v>
      </c>
      <c r="C223" t="s">
        <v>22</v>
      </c>
      <c r="D223" s="1">
        <v>32208</v>
      </c>
      <c r="E223" t="s">
        <v>23</v>
      </c>
      <c r="F223" t="s">
        <v>36</v>
      </c>
      <c r="G223" t="s">
        <v>25</v>
      </c>
      <c r="H223" t="s">
        <v>105</v>
      </c>
      <c r="I223" s="1">
        <v>40729</v>
      </c>
      <c r="J223" t="s">
        <v>582</v>
      </c>
      <c r="K223" s="1">
        <v>41243</v>
      </c>
      <c r="L223" t="s">
        <v>196</v>
      </c>
      <c r="M223" t="s">
        <v>39</v>
      </c>
      <c r="N223" t="s">
        <v>29</v>
      </c>
      <c r="O223" t="s">
        <v>71</v>
      </c>
      <c r="P223">
        <v>12</v>
      </c>
      <c r="Q223" t="s">
        <v>57</v>
      </c>
      <c r="R223" t="s">
        <v>43</v>
      </c>
      <c r="S223">
        <v>5</v>
      </c>
      <c r="T223">
        <v>3</v>
      </c>
      <c r="U223" t="s">
        <v>566</v>
      </c>
      <c r="V223" s="1">
        <v>40959</v>
      </c>
      <c r="W223">
        <v>13</v>
      </c>
      <c r="X223" t="s">
        <v>583</v>
      </c>
    </row>
    <row r="224" spans="1:24" x14ac:dyDescent="0.25">
      <c r="A224" t="s">
        <v>396</v>
      </c>
      <c r="B224">
        <v>10164</v>
      </c>
      <c r="C224" t="s">
        <v>22</v>
      </c>
      <c r="D224" s="1">
        <v>29609</v>
      </c>
      <c r="E224" t="s">
        <v>23</v>
      </c>
      <c r="F224" t="s">
        <v>24</v>
      </c>
      <c r="G224" t="s">
        <v>25</v>
      </c>
      <c r="H224" t="s">
        <v>26</v>
      </c>
      <c r="I224" s="1">
        <v>39087</v>
      </c>
      <c r="J224" t="s">
        <v>580</v>
      </c>
      <c r="K224" s="1" t="s">
        <v>500</v>
      </c>
      <c r="L224" t="s">
        <v>27</v>
      </c>
      <c r="M224" t="s">
        <v>28</v>
      </c>
      <c r="N224" t="s">
        <v>29</v>
      </c>
      <c r="O224" t="s">
        <v>80</v>
      </c>
      <c r="P224">
        <v>14</v>
      </c>
      <c r="Q224" t="s">
        <v>57</v>
      </c>
      <c r="R224" t="s">
        <v>43</v>
      </c>
      <c r="S224">
        <v>3.66</v>
      </c>
      <c r="T224">
        <v>3</v>
      </c>
      <c r="U224" t="s">
        <v>566</v>
      </c>
      <c r="V224" s="1">
        <v>43521</v>
      </c>
      <c r="W224">
        <v>15</v>
      </c>
      <c r="X224" t="s">
        <v>586</v>
      </c>
    </row>
    <row r="225" spans="1:24" x14ac:dyDescent="0.25">
      <c r="A225" t="s">
        <v>397</v>
      </c>
      <c r="B225">
        <v>10124</v>
      </c>
      <c r="C225" t="s">
        <v>135</v>
      </c>
      <c r="D225" s="1">
        <v>32384</v>
      </c>
      <c r="E225" t="s">
        <v>47</v>
      </c>
      <c r="F225" t="s">
        <v>36</v>
      </c>
      <c r="G225" t="s">
        <v>25</v>
      </c>
      <c r="H225" t="s">
        <v>70</v>
      </c>
      <c r="I225" s="1">
        <v>40917</v>
      </c>
      <c r="J225" t="s">
        <v>583</v>
      </c>
      <c r="K225" s="1" t="s">
        <v>500</v>
      </c>
      <c r="L225" t="s">
        <v>27</v>
      </c>
      <c r="M225" t="s">
        <v>28</v>
      </c>
      <c r="N225" t="s">
        <v>136</v>
      </c>
      <c r="O225" t="s">
        <v>158</v>
      </c>
      <c r="P225">
        <v>21</v>
      </c>
      <c r="Q225" t="s">
        <v>205</v>
      </c>
      <c r="R225" t="s">
        <v>43</v>
      </c>
      <c r="S225">
        <v>4.2</v>
      </c>
      <c r="T225">
        <v>5</v>
      </c>
      <c r="U225" t="s">
        <v>564</v>
      </c>
      <c r="V225" s="1">
        <v>43497</v>
      </c>
      <c r="W225">
        <v>9</v>
      </c>
      <c r="X225" t="s">
        <v>586</v>
      </c>
    </row>
    <row r="226" spans="1:24" x14ac:dyDescent="0.25">
      <c r="A226" t="s">
        <v>398</v>
      </c>
      <c r="B226">
        <v>10187</v>
      </c>
      <c r="C226" t="s">
        <v>22</v>
      </c>
      <c r="D226" s="1">
        <v>30970</v>
      </c>
      <c r="E226" t="s">
        <v>47</v>
      </c>
      <c r="F226" t="s">
        <v>54</v>
      </c>
      <c r="G226" t="s">
        <v>99</v>
      </c>
      <c r="H226" t="s">
        <v>105</v>
      </c>
      <c r="I226" s="1">
        <v>40679</v>
      </c>
      <c r="J226" t="s">
        <v>582</v>
      </c>
      <c r="K226" s="1">
        <v>43255</v>
      </c>
      <c r="L226" t="s">
        <v>79</v>
      </c>
      <c r="M226" t="s">
        <v>39</v>
      </c>
      <c r="N226" t="s">
        <v>29</v>
      </c>
      <c r="O226" t="s">
        <v>49</v>
      </c>
      <c r="P226">
        <v>20</v>
      </c>
      <c r="Q226" t="s">
        <v>57</v>
      </c>
      <c r="R226" t="s">
        <v>43</v>
      </c>
      <c r="S226">
        <v>3.17</v>
      </c>
      <c r="T226">
        <v>4</v>
      </c>
      <c r="U226" t="s">
        <v>565</v>
      </c>
      <c r="V226" s="1">
        <v>43192</v>
      </c>
      <c r="W226">
        <v>14</v>
      </c>
      <c r="X226" t="s">
        <v>586</v>
      </c>
    </row>
    <row r="227" spans="1:24" x14ac:dyDescent="0.25">
      <c r="A227" t="s">
        <v>399</v>
      </c>
      <c r="B227">
        <v>10225</v>
      </c>
      <c r="C227" t="s">
        <v>22</v>
      </c>
      <c r="D227" s="1">
        <v>22451</v>
      </c>
      <c r="E227" t="s">
        <v>23</v>
      </c>
      <c r="F227" t="s">
        <v>24</v>
      </c>
      <c r="G227" t="s">
        <v>25</v>
      </c>
      <c r="H227" t="s">
        <v>26</v>
      </c>
      <c r="I227" s="1">
        <v>41645</v>
      </c>
      <c r="J227" t="s">
        <v>584</v>
      </c>
      <c r="K227" s="1" t="s">
        <v>500</v>
      </c>
      <c r="L227" t="s">
        <v>27</v>
      </c>
      <c r="M227" t="s">
        <v>28</v>
      </c>
      <c r="N227" t="s">
        <v>29</v>
      </c>
      <c r="O227" t="s">
        <v>89</v>
      </c>
      <c r="P227">
        <v>18</v>
      </c>
      <c r="Q227" t="s">
        <v>67</v>
      </c>
      <c r="R227" t="s">
        <v>43</v>
      </c>
      <c r="S227">
        <v>4.8</v>
      </c>
      <c r="T227">
        <v>3</v>
      </c>
      <c r="U227" t="s">
        <v>566</v>
      </c>
      <c r="V227" s="1">
        <v>43472</v>
      </c>
      <c r="W227">
        <v>14</v>
      </c>
      <c r="X227" t="s">
        <v>586</v>
      </c>
    </row>
    <row r="228" spans="1:24" x14ac:dyDescent="0.25">
      <c r="A228" t="s">
        <v>400</v>
      </c>
      <c r="B228">
        <v>10262</v>
      </c>
      <c r="C228" t="s">
        <v>22</v>
      </c>
      <c r="D228" s="1">
        <v>25833</v>
      </c>
      <c r="E228" t="s">
        <v>47</v>
      </c>
      <c r="F228" t="s">
        <v>54</v>
      </c>
      <c r="G228" t="s">
        <v>25</v>
      </c>
      <c r="H228" t="s">
        <v>26</v>
      </c>
      <c r="I228" s="1">
        <v>41176</v>
      </c>
      <c r="J228" t="s">
        <v>583</v>
      </c>
      <c r="K228" s="1">
        <v>41443</v>
      </c>
      <c r="L228" t="s">
        <v>83</v>
      </c>
      <c r="M228" t="s">
        <v>39</v>
      </c>
      <c r="N228" t="s">
        <v>29</v>
      </c>
      <c r="O228" t="s">
        <v>49</v>
      </c>
      <c r="P228">
        <v>20</v>
      </c>
      <c r="Q228" t="s">
        <v>42</v>
      </c>
      <c r="R228" t="s">
        <v>43</v>
      </c>
      <c r="S228">
        <v>4.5</v>
      </c>
      <c r="T228">
        <v>5</v>
      </c>
      <c r="U228" t="s">
        <v>564</v>
      </c>
      <c r="V228" s="1">
        <v>41366</v>
      </c>
      <c r="W228">
        <v>16</v>
      </c>
      <c r="X228" t="s">
        <v>583</v>
      </c>
    </row>
    <row r="229" spans="1:24" x14ac:dyDescent="0.25">
      <c r="A229" t="s">
        <v>401</v>
      </c>
      <c r="B229">
        <v>10131</v>
      </c>
      <c r="C229" t="s">
        <v>61</v>
      </c>
      <c r="D229" s="1">
        <v>30687</v>
      </c>
      <c r="E229" t="s">
        <v>23</v>
      </c>
      <c r="F229" t="s">
        <v>36</v>
      </c>
      <c r="G229" t="s">
        <v>99</v>
      </c>
      <c r="H229" t="s">
        <v>70</v>
      </c>
      <c r="I229" s="1">
        <v>40595</v>
      </c>
      <c r="J229" t="s">
        <v>582</v>
      </c>
      <c r="K229" s="1">
        <v>42231</v>
      </c>
      <c r="L229" t="s">
        <v>38</v>
      </c>
      <c r="M229" t="s">
        <v>39</v>
      </c>
      <c r="N229" t="s">
        <v>62</v>
      </c>
      <c r="O229" t="s">
        <v>124</v>
      </c>
      <c r="P229">
        <v>2</v>
      </c>
      <c r="Q229" t="s">
        <v>72</v>
      </c>
      <c r="R229" t="s">
        <v>43</v>
      </c>
      <c r="S229">
        <v>4.1500000000000004</v>
      </c>
      <c r="T229">
        <v>4</v>
      </c>
      <c r="U229" t="s">
        <v>565</v>
      </c>
      <c r="V229" s="1">
        <v>41748</v>
      </c>
      <c r="W229">
        <v>4</v>
      </c>
      <c r="X229" t="s">
        <v>584</v>
      </c>
    </row>
    <row r="230" spans="1:24" x14ac:dyDescent="0.25">
      <c r="A230" t="s">
        <v>403</v>
      </c>
      <c r="B230">
        <v>10239</v>
      </c>
      <c r="C230" t="s">
        <v>199</v>
      </c>
      <c r="D230" s="1">
        <v>29353</v>
      </c>
      <c r="E230" t="s">
        <v>47</v>
      </c>
      <c r="F230" t="s">
        <v>36</v>
      </c>
      <c r="G230" t="s">
        <v>25</v>
      </c>
      <c r="H230" t="s">
        <v>70</v>
      </c>
      <c r="I230" s="1">
        <v>42645</v>
      </c>
      <c r="J230" t="s">
        <v>585</v>
      </c>
      <c r="K230" s="1" t="s">
        <v>500</v>
      </c>
      <c r="L230" t="s">
        <v>27</v>
      </c>
      <c r="M230" t="s">
        <v>28</v>
      </c>
      <c r="N230" t="s">
        <v>40</v>
      </c>
      <c r="O230" t="s">
        <v>201</v>
      </c>
      <c r="P230">
        <v>13</v>
      </c>
      <c r="Q230" t="s">
        <v>42</v>
      </c>
      <c r="R230" t="s">
        <v>43</v>
      </c>
      <c r="S230">
        <v>4.4000000000000004</v>
      </c>
      <c r="T230">
        <v>4</v>
      </c>
      <c r="U230" t="s">
        <v>565</v>
      </c>
      <c r="V230" s="1">
        <v>43502</v>
      </c>
      <c r="W230">
        <v>10</v>
      </c>
      <c r="X230" t="s">
        <v>586</v>
      </c>
    </row>
    <row r="231" spans="1:24" x14ac:dyDescent="0.25">
      <c r="A231" t="s">
        <v>404</v>
      </c>
      <c r="B231">
        <v>10152</v>
      </c>
      <c r="C231" t="s">
        <v>22</v>
      </c>
      <c r="D231" s="1">
        <v>30986</v>
      </c>
      <c r="E231" t="s">
        <v>23</v>
      </c>
      <c r="F231" t="s">
        <v>54</v>
      </c>
      <c r="G231" t="s">
        <v>25</v>
      </c>
      <c r="H231" t="s">
        <v>26</v>
      </c>
      <c r="I231" s="1">
        <v>40812</v>
      </c>
      <c r="J231" t="s">
        <v>582</v>
      </c>
      <c r="K231" s="1">
        <v>43197</v>
      </c>
      <c r="L231" t="s">
        <v>196</v>
      </c>
      <c r="M231" t="s">
        <v>39</v>
      </c>
      <c r="N231" t="s">
        <v>29</v>
      </c>
      <c r="O231" t="s">
        <v>30</v>
      </c>
      <c r="P231">
        <v>22</v>
      </c>
      <c r="Q231" t="s">
        <v>42</v>
      </c>
      <c r="R231" t="s">
        <v>43</v>
      </c>
      <c r="S231">
        <v>3.8</v>
      </c>
      <c r="T231">
        <v>5</v>
      </c>
      <c r="U231" t="s">
        <v>564</v>
      </c>
      <c r="V231" s="1">
        <v>43135</v>
      </c>
      <c r="W231">
        <v>19</v>
      </c>
      <c r="X231" t="s">
        <v>586</v>
      </c>
    </row>
    <row r="232" spans="1:24" x14ac:dyDescent="0.25">
      <c r="A232" t="s">
        <v>405</v>
      </c>
      <c r="B232">
        <v>10140</v>
      </c>
      <c r="C232" t="s">
        <v>135</v>
      </c>
      <c r="D232" s="1">
        <v>20009</v>
      </c>
      <c r="E232" t="s">
        <v>23</v>
      </c>
      <c r="F232" t="s">
        <v>36</v>
      </c>
      <c r="G232" t="s">
        <v>25</v>
      </c>
      <c r="H232" t="s">
        <v>26</v>
      </c>
      <c r="I232" s="1">
        <v>41771</v>
      </c>
      <c r="J232" t="s">
        <v>584</v>
      </c>
      <c r="K232" s="1" t="s">
        <v>500</v>
      </c>
      <c r="L232" t="s">
        <v>27</v>
      </c>
      <c r="M232" t="s">
        <v>28</v>
      </c>
      <c r="N232" t="s">
        <v>136</v>
      </c>
      <c r="O232" t="s">
        <v>137</v>
      </c>
      <c r="P232">
        <v>17</v>
      </c>
      <c r="Q232" t="s">
        <v>111</v>
      </c>
      <c r="R232" t="s">
        <v>43</v>
      </c>
      <c r="S232">
        <v>3.98</v>
      </c>
      <c r="T232">
        <v>3</v>
      </c>
      <c r="U232" t="s">
        <v>566</v>
      </c>
      <c r="V232" s="1">
        <v>43493</v>
      </c>
      <c r="W232">
        <v>4</v>
      </c>
      <c r="X232" t="s">
        <v>586</v>
      </c>
    </row>
    <row r="233" spans="1:24" x14ac:dyDescent="0.25">
      <c r="A233" t="s">
        <v>406</v>
      </c>
      <c r="B233">
        <v>10058</v>
      </c>
      <c r="C233" t="s">
        <v>22</v>
      </c>
      <c r="D233" s="1">
        <v>30154</v>
      </c>
      <c r="E233" t="s">
        <v>23</v>
      </c>
      <c r="F233" t="s">
        <v>54</v>
      </c>
      <c r="G233" t="s">
        <v>25</v>
      </c>
      <c r="H233" t="s">
        <v>26</v>
      </c>
      <c r="I233" s="1">
        <v>40679</v>
      </c>
      <c r="J233" t="s">
        <v>582</v>
      </c>
      <c r="K233" s="1">
        <v>42384</v>
      </c>
      <c r="L233" t="s">
        <v>123</v>
      </c>
      <c r="M233" t="s">
        <v>39</v>
      </c>
      <c r="N233" t="s">
        <v>29</v>
      </c>
      <c r="O233" t="s">
        <v>52</v>
      </c>
      <c r="P233">
        <v>16</v>
      </c>
      <c r="Q233" t="s">
        <v>31</v>
      </c>
      <c r="R233" t="s">
        <v>43</v>
      </c>
      <c r="S233">
        <v>5</v>
      </c>
      <c r="T233">
        <v>4</v>
      </c>
      <c r="U233" t="s">
        <v>565</v>
      </c>
      <c r="V233" s="1">
        <v>42093</v>
      </c>
      <c r="W233">
        <v>11</v>
      </c>
      <c r="X233" t="s">
        <v>584</v>
      </c>
    </row>
    <row r="234" spans="1:24" x14ac:dyDescent="0.25">
      <c r="A234" t="s">
        <v>407</v>
      </c>
      <c r="B234">
        <v>10011</v>
      </c>
      <c r="C234" t="s">
        <v>22</v>
      </c>
      <c r="D234" s="1">
        <v>26676</v>
      </c>
      <c r="E234" t="s">
        <v>47</v>
      </c>
      <c r="F234" t="s">
        <v>36</v>
      </c>
      <c r="G234" t="s">
        <v>25</v>
      </c>
      <c r="H234" t="s">
        <v>105</v>
      </c>
      <c r="I234" s="1">
        <v>40571</v>
      </c>
      <c r="J234" t="s">
        <v>582</v>
      </c>
      <c r="K234" s="1" t="s">
        <v>500</v>
      </c>
      <c r="L234" t="s">
        <v>27</v>
      </c>
      <c r="M234" t="s">
        <v>28</v>
      </c>
      <c r="N234" t="s">
        <v>29</v>
      </c>
      <c r="O234" t="s">
        <v>56</v>
      </c>
      <c r="Q234" t="s">
        <v>57</v>
      </c>
      <c r="R234" t="s">
        <v>32</v>
      </c>
      <c r="S234">
        <v>4.3600000000000003</v>
      </c>
      <c r="T234">
        <v>5</v>
      </c>
      <c r="U234" t="s">
        <v>564</v>
      </c>
      <c r="V234" s="1">
        <v>43507</v>
      </c>
      <c r="W234">
        <v>16</v>
      </c>
      <c r="X234" t="s">
        <v>586</v>
      </c>
    </row>
    <row r="235" spans="1:24" x14ac:dyDescent="0.25">
      <c r="A235" t="s">
        <v>408</v>
      </c>
      <c r="B235">
        <v>10230</v>
      </c>
      <c r="C235" t="s">
        <v>46</v>
      </c>
      <c r="D235" s="1">
        <v>29834</v>
      </c>
      <c r="E235" t="s">
        <v>47</v>
      </c>
      <c r="F235" t="s">
        <v>54</v>
      </c>
      <c r="G235" t="s">
        <v>99</v>
      </c>
      <c r="H235" t="s">
        <v>70</v>
      </c>
      <c r="I235" s="1">
        <v>40812</v>
      </c>
      <c r="J235" t="s">
        <v>582</v>
      </c>
      <c r="K235" s="1">
        <v>40838</v>
      </c>
      <c r="L235" t="s">
        <v>55</v>
      </c>
      <c r="M235" t="s">
        <v>39</v>
      </c>
      <c r="N235" t="s">
        <v>29</v>
      </c>
      <c r="O235" t="s">
        <v>80</v>
      </c>
      <c r="P235">
        <v>14</v>
      </c>
      <c r="Q235" t="s">
        <v>57</v>
      </c>
      <c r="R235" t="s">
        <v>43</v>
      </c>
      <c r="S235">
        <v>4.5</v>
      </c>
      <c r="T235">
        <v>4</v>
      </c>
      <c r="U235" t="s">
        <v>565</v>
      </c>
      <c r="V235" s="1">
        <v>40838</v>
      </c>
      <c r="W235">
        <v>10</v>
      </c>
      <c r="X235" t="s">
        <v>582</v>
      </c>
    </row>
    <row r="236" spans="1:24" x14ac:dyDescent="0.25">
      <c r="A236" t="s">
        <v>410</v>
      </c>
      <c r="B236">
        <v>10224</v>
      </c>
      <c r="C236" t="s">
        <v>46</v>
      </c>
      <c r="D236" s="1">
        <v>26483</v>
      </c>
      <c r="E236" t="s">
        <v>23</v>
      </c>
      <c r="F236" t="s">
        <v>36</v>
      </c>
      <c r="G236" t="s">
        <v>25</v>
      </c>
      <c r="H236" t="s">
        <v>26</v>
      </c>
      <c r="I236" s="1">
        <v>40729</v>
      </c>
      <c r="J236" t="s">
        <v>582</v>
      </c>
      <c r="K236" s="1">
        <v>40947</v>
      </c>
      <c r="L236" t="s">
        <v>79</v>
      </c>
      <c r="M236" t="s">
        <v>39</v>
      </c>
      <c r="N236" t="s">
        <v>29</v>
      </c>
      <c r="O236" t="s">
        <v>49</v>
      </c>
      <c r="P236">
        <v>20</v>
      </c>
      <c r="Q236" t="s">
        <v>42</v>
      </c>
      <c r="R236" t="s">
        <v>43</v>
      </c>
      <c r="S236">
        <v>4.2</v>
      </c>
      <c r="T236">
        <v>5</v>
      </c>
      <c r="U236" t="s">
        <v>564</v>
      </c>
      <c r="V236" s="1">
        <v>40914</v>
      </c>
      <c r="W236">
        <v>13</v>
      </c>
      <c r="X236" t="s">
        <v>583</v>
      </c>
    </row>
    <row r="237" spans="1:24" x14ac:dyDescent="0.25">
      <c r="A237" t="s">
        <v>411</v>
      </c>
      <c r="B237">
        <v>10047</v>
      </c>
      <c r="C237" t="s">
        <v>22</v>
      </c>
      <c r="D237" s="1">
        <v>27036</v>
      </c>
      <c r="E237" t="s">
        <v>23</v>
      </c>
      <c r="F237" t="s">
        <v>36</v>
      </c>
      <c r="G237" t="s">
        <v>25</v>
      </c>
      <c r="H237" t="s">
        <v>70</v>
      </c>
      <c r="I237" s="1">
        <v>40553</v>
      </c>
      <c r="J237" t="s">
        <v>582</v>
      </c>
      <c r="K237" s="1">
        <v>42395</v>
      </c>
      <c r="L237" t="s">
        <v>94</v>
      </c>
      <c r="M237" t="s">
        <v>39</v>
      </c>
      <c r="N237" t="s">
        <v>29</v>
      </c>
      <c r="O237" t="s">
        <v>59</v>
      </c>
      <c r="P237">
        <v>11</v>
      </c>
      <c r="Q237" t="s">
        <v>42</v>
      </c>
      <c r="R237" t="s">
        <v>43</v>
      </c>
      <c r="S237">
        <v>5</v>
      </c>
      <c r="T237">
        <v>3</v>
      </c>
      <c r="U237" t="s">
        <v>566</v>
      </c>
      <c r="V237" s="1">
        <v>42014</v>
      </c>
      <c r="W237">
        <v>11</v>
      </c>
      <c r="X237" t="s">
        <v>584</v>
      </c>
    </row>
    <row r="238" spans="1:24" x14ac:dyDescent="0.25">
      <c r="A238" t="s">
        <v>412</v>
      </c>
      <c r="B238">
        <v>10285</v>
      </c>
      <c r="C238" t="s">
        <v>22</v>
      </c>
      <c r="D238" s="1">
        <v>31054</v>
      </c>
      <c r="E238" t="s">
        <v>47</v>
      </c>
      <c r="F238" t="s">
        <v>36</v>
      </c>
      <c r="G238" t="s">
        <v>25</v>
      </c>
      <c r="H238" t="s">
        <v>26</v>
      </c>
      <c r="I238" s="1">
        <v>40553</v>
      </c>
      <c r="J238" t="s">
        <v>582</v>
      </c>
      <c r="K238" s="1">
        <v>42507</v>
      </c>
      <c r="L238" t="s">
        <v>94</v>
      </c>
      <c r="M238" t="s">
        <v>95</v>
      </c>
      <c r="N238" t="s">
        <v>29</v>
      </c>
      <c r="O238" t="s">
        <v>66</v>
      </c>
      <c r="P238">
        <v>19</v>
      </c>
      <c r="Q238" t="s">
        <v>42</v>
      </c>
      <c r="R238" t="s">
        <v>112</v>
      </c>
      <c r="S238">
        <v>3.6</v>
      </c>
      <c r="T238">
        <v>3</v>
      </c>
      <c r="U238" t="s">
        <v>566</v>
      </c>
      <c r="V238" s="1">
        <v>42465</v>
      </c>
      <c r="W238">
        <v>16</v>
      </c>
      <c r="X238" t="s">
        <v>585</v>
      </c>
    </row>
    <row r="239" spans="1:24" x14ac:dyDescent="0.25">
      <c r="A239" t="s">
        <v>413</v>
      </c>
      <c r="B239">
        <v>10020</v>
      </c>
      <c r="C239" t="s">
        <v>22</v>
      </c>
      <c r="D239" s="1">
        <v>31075</v>
      </c>
      <c r="E239" t="s">
        <v>23</v>
      </c>
      <c r="F239" t="s">
        <v>65</v>
      </c>
      <c r="G239" t="s">
        <v>25</v>
      </c>
      <c r="H239" t="s">
        <v>26</v>
      </c>
      <c r="I239" s="1">
        <v>41463</v>
      </c>
      <c r="J239" t="s">
        <v>583</v>
      </c>
      <c r="K239" s="1" t="s">
        <v>500</v>
      </c>
      <c r="L239" t="s">
        <v>27</v>
      </c>
      <c r="M239" t="s">
        <v>28</v>
      </c>
      <c r="N239" t="s">
        <v>29</v>
      </c>
      <c r="O239" t="s">
        <v>71</v>
      </c>
      <c r="P239">
        <v>12</v>
      </c>
      <c r="Q239" t="s">
        <v>67</v>
      </c>
      <c r="R239" t="s">
        <v>32</v>
      </c>
      <c r="S239">
        <v>3.6</v>
      </c>
      <c r="T239">
        <v>5</v>
      </c>
      <c r="U239" t="s">
        <v>564</v>
      </c>
      <c r="V239" s="1">
        <v>43507</v>
      </c>
      <c r="W239">
        <v>4</v>
      </c>
      <c r="X239" t="s">
        <v>586</v>
      </c>
    </row>
    <row r="240" spans="1:24" x14ac:dyDescent="0.25">
      <c r="A240" t="s">
        <v>414</v>
      </c>
      <c r="B240">
        <v>10162</v>
      </c>
      <c r="C240" t="s">
        <v>85</v>
      </c>
      <c r="D240" s="1">
        <v>29870</v>
      </c>
      <c r="E240" t="s">
        <v>47</v>
      </c>
      <c r="F240" t="s">
        <v>36</v>
      </c>
      <c r="G240" t="s">
        <v>25</v>
      </c>
      <c r="H240" t="s">
        <v>26</v>
      </c>
      <c r="I240" s="1">
        <v>42051</v>
      </c>
      <c r="J240" t="s">
        <v>584</v>
      </c>
      <c r="K240" s="1" t="s">
        <v>500</v>
      </c>
      <c r="L240" t="s">
        <v>27</v>
      </c>
      <c r="M240" t="s">
        <v>28</v>
      </c>
      <c r="N240" t="s">
        <v>40</v>
      </c>
      <c r="O240" t="s">
        <v>41</v>
      </c>
      <c r="P240">
        <v>4</v>
      </c>
      <c r="Q240" t="s">
        <v>67</v>
      </c>
      <c r="R240" t="s">
        <v>43</v>
      </c>
      <c r="S240">
        <v>3.69</v>
      </c>
      <c r="T240">
        <v>5</v>
      </c>
      <c r="U240" t="s">
        <v>564</v>
      </c>
      <c r="V240" s="1">
        <v>43510</v>
      </c>
      <c r="W240">
        <v>15</v>
      </c>
      <c r="X240" t="s">
        <v>586</v>
      </c>
    </row>
    <row r="241" spans="1:24" x14ac:dyDescent="0.25">
      <c r="A241" t="s">
        <v>415</v>
      </c>
      <c r="B241">
        <v>10149</v>
      </c>
      <c r="C241" t="s">
        <v>416</v>
      </c>
      <c r="D241" s="1">
        <v>26811</v>
      </c>
      <c r="E241" t="s">
        <v>47</v>
      </c>
      <c r="F241" t="s">
        <v>24</v>
      </c>
      <c r="G241" t="s">
        <v>25</v>
      </c>
      <c r="H241" t="s">
        <v>26</v>
      </c>
      <c r="I241" s="1">
        <v>42009</v>
      </c>
      <c r="J241" t="s">
        <v>584</v>
      </c>
      <c r="K241" s="1">
        <v>43414</v>
      </c>
      <c r="L241" t="s">
        <v>79</v>
      </c>
      <c r="M241" t="s">
        <v>39</v>
      </c>
      <c r="N241" t="s">
        <v>40</v>
      </c>
      <c r="O241" t="s">
        <v>41</v>
      </c>
      <c r="P241">
        <v>4</v>
      </c>
      <c r="Q241" t="s">
        <v>31</v>
      </c>
      <c r="R241" t="s">
        <v>43</v>
      </c>
      <c r="S241">
        <v>3.88</v>
      </c>
      <c r="T241">
        <v>3</v>
      </c>
      <c r="U241" t="s">
        <v>566</v>
      </c>
      <c r="V241" s="1">
        <v>43144</v>
      </c>
      <c r="W241">
        <v>12</v>
      </c>
      <c r="X241" t="s">
        <v>586</v>
      </c>
    </row>
    <row r="242" spans="1:24" x14ac:dyDescent="0.25">
      <c r="A242" t="s">
        <v>418</v>
      </c>
      <c r="B242">
        <v>10086</v>
      </c>
      <c r="C242" t="s">
        <v>419</v>
      </c>
      <c r="D242" s="1">
        <v>26319</v>
      </c>
      <c r="E242" t="s">
        <v>47</v>
      </c>
      <c r="F242" t="s">
        <v>24</v>
      </c>
      <c r="G242" t="s">
        <v>25</v>
      </c>
      <c r="H242" t="s">
        <v>70</v>
      </c>
      <c r="I242" s="1">
        <v>42742</v>
      </c>
      <c r="J242" t="s">
        <v>585</v>
      </c>
      <c r="K242" s="1" t="s">
        <v>500</v>
      </c>
      <c r="L242" t="s">
        <v>27</v>
      </c>
      <c r="M242" t="s">
        <v>28</v>
      </c>
      <c r="N242" t="s">
        <v>40</v>
      </c>
      <c r="O242" t="s">
        <v>201</v>
      </c>
      <c r="P242">
        <v>13</v>
      </c>
      <c r="Q242" t="s">
        <v>42</v>
      </c>
      <c r="R242" t="s">
        <v>43</v>
      </c>
      <c r="S242">
        <v>4.9400000000000004</v>
      </c>
      <c r="T242">
        <v>3</v>
      </c>
      <c r="U242" t="s">
        <v>566</v>
      </c>
      <c r="V242" s="1">
        <v>43502</v>
      </c>
      <c r="W242">
        <v>17</v>
      </c>
      <c r="X242" t="s">
        <v>586</v>
      </c>
    </row>
    <row r="243" spans="1:24" x14ac:dyDescent="0.25">
      <c r="A243" t="s">
        <v>420</v>
      </c>
      <c r="B243">
        <v>10054</v>
      </c>
      <c r="C243" t="s">
        <v>22</v>
      </c>
      <c r="D243" s="1">
        <v>27065</v>
      </c>
      <c r="E243" t="s">
        <v>47</v>
      </c>
      <c r="F243" t="s">
        <v>132</v>
      </c>
      <c r="G243" t="s">
        <v>25</v>
      </c>
      <c r="H243" t="s">
        <v>26</v>
      </c>
      <c r="I243" s="1">
        <v>41645</v>
      </c>
      <c r="J243" t="s">
        <v>584</v>
      </c>
      <c r="K243" s="1" t="s">
        <v>500</v>
      </c>
      <c r="L243" t="s">
        <v>27</v>
      </c>
      <c r="M243" t="s">
        <v>28</v>
      </c>
      <c r="N243" t="s">
        <v>29</v>
      </c>
      <c r="O243" t="s">
        <v>80</v>
      </c>
      <c r="P243">
        <v>14</v>
      </c>
      <c r="Q243" t="s">
        <v>205</v>
      </c>
      <c r="R243" t="s">
        <v>43</v>
      </c>
      <c r="S243">
        <v>5</v>
      </c>
      <c r="T243">
        <v>4</v>
      </c>
      <c r="U243" t="s">
        <v>565</v>
      </c>
      <c r="V243" s="1">
        <v>43496</v>
      </c>
      <c r="W243">
        <v>8</v>
      </c>
      <c r="X243" t="s">
        <v>586</v>
      </c>
    </row>
    <row r="244" spans="1:24" x14ac:dyDescent="0.25">
      <c r="A244" t="s">
        <v>421</v>
      </c>
      <c r="B244">
        <v>10065</v>
      </c>
      <c r="C244" t="s">
        <v>22</v>
      </c>
      <c r="D244" s="1">
        <v>31854</v>
      </c>
      <c r="E244" t="s">
        <v>23</v>
      </c>
      <c r="F244" t="s">
        <v>24</v>
      </c>
      <c r="G244" t="s">
        <v>25</v>
      </c>
      <c r="H244" t="s">
        <v>26</v>
      </c>
      <c r="I244" s="1">
        <v>40637</v>
      </c>
      <c r="J244" t="s">
        <v>582</v>
      </c>
      <c r="K244" s="1">
        <v>43325</v>
      </c>
      <c r="L244" t="s">
        <v>79</v>
      </c>
      <c r="M244" t="s">
        <v>39</v>
      </c>
      <c r="N244" t="s">
        <v>29</v>
      </c>
      <c r="O244" t="s">
        <v>49</v>
      </c>
      <c r="P244">
        <v>20</v>
      </c>
      <c r="Q244" t="s">
        <v>57</v>
      </c>
      <c r="R244" t="s">
        <v>43</v>
      </c>
      <c r="S244">
        <v>5</v>
      </c>
      <c r="T244">
        <v>5</v>
      </c>
      <c r="U244" t="s">
        <v>564</v>
      </c>
      <c r="V244" s="1">
        <v>43283</v>
      </c>
      <c r="W244">
        <v>4</v>
      </c>
      <c r="X244" t="s">
        <v>586</v>
      </c>
    </row>
    <row r="245" spans="1:24" x14ac:dyDescent="0.25">
      <c r="A245" t="s">
        <v>422</v>
      </c>
      <c r="B245">
        <v>10198</v>
      </c>
      <c r="C245" t="s">
        <v>423</v>
      </c>
      <c r="D245" s="1">
        <v>26759</v>
      </c>
      <c r="E245" t="s">
        <v>23</v>
      </c>
      <c r="F245" t="s">
        <v>24</v>
      </c>
      <c r="G245" t="s">
        <v>25</v>
      </c>
      <c r="H245" t="s">
        <v>26</v>
      </c>
      <c r="I245" s="1">
        <v>41294</v>
      </c>
      <c r="J245" t="s">
        <v>583</v>
      </c>
      <c r="K245" s="1" t="s">
        <v>500</v>
      </c>
      <c r="L245" t="s">
        <v>27</v>
      </c>
      <c r="M245" t="s">
        <v>28</v>
      </c>
      <c r="N245" t="s">
        <v>40</v>
      </c>
      <c r="O245" t="s">
        <v>143</v>
      </c>
      <c r="P245">
        <v>5</v>
      </c>
      <c r="Q245" t="s">
        <v>42</v>
      </c>
      <c r="R245" t="s">
        <v>43</v>
      </c>
      <c r="S245">
        <v>3.6</v>
      </c>
      <c r="T245">
        <v>5</v>
      </c>
      <c r="U245" t="s">
        <v>564</v>
      </c>
      <c r="V245" s="1">
        <v>43514</v>
      </c>
      <c r="W245">
        <v>13</v>
      </c>
      <c r="X245" t="s">
        <v>586</v>
      </c>
    </row>
    <row r="246" spans="1:24" x14ac:dyDescent="0.25">
      <c r="A246" t="s">
        <v>424</v>
      </c>
      <c r="B246">
        <v>10222</v>
      </c>
      <c r="C246" t="s">
        <v>423</v>
      </c>
      <c r="D246" s="1">
        <v>23380</v>
      </c>
      <c r="E246" t="s">
        <v>23</v>
      </c>
      <c r="F246" t="s">
        <v>54</v>
      </c>
      <c r="G246" t="s">
        <v>25</v>
      </c>
      <c r="H246" t="s">
        <v>70</v>
      </c>
      <c r="I246" s="1">
        <v>40917</v>
      </c>
      <c r="J246" t="s">
        <v>583</v>
      </c>
      <c r="K246" s="1">
        <v>42312</v>
      </c>
      <c r="L246" t="s">
        <v>48</v>
      </c>
      <c r="M246" t="s">
        <v>39</v>
      </c>
      <c r="N246" t="s">
        <v>40</v>
      </c>
      <c r="O246" t="s">
        <v>143</v>
      </c>
      <c r="P246">
        <v>5</v>
      </c>
      <c r="Q246" t="s">
        <v>72</v>
      </c>
      <c r="R246" t="s">
        <v>43</v>
      </c>
      <c r="S246">
        <v>4.3</v>
      </c>
      <c r="T246">
        <v>4</v>
      </c>
      <c r="U246" t="s">
        <v>565</v>
      </c>
      <c r="V246" s="1">
        <v>42008</v>
      </c>
      <c r="W246">
        <v>8</v>
      </c>
      <c r="X246" t="s">
        <v>584</v>
      </c>
    </row>
    <row r="247" spans="1:24" x14ac:dyDescent="0.25">
      <c r="A247" t="s">
        <v>425</v>
      </c>
      <c r="B247">
        <v>10126</v>
      </c>
      <c r="C247" t="s">
        <v>61</v>
      </c>
      <c r="D247" s="1">
        <v>31617</v>
      </c>
      <c r="E247" t="s">
        <v>47</v>
      </c>
      <c r="F247" t="s">
        <v>36</v>
      </c>
      <c r="G247" t="s">
        <v>25</v>
      </c>
      <c r="H247" t="s">
        <v>26</v>
      </c>
      <c r="I247" s="1">
        <v>40913</v>
      </c>
      <c r="J247" t="s">
        <v>583</v>
      </c>
      <c r="K247" s="1" t="s">
        <v>500</v>
      </c>
      <c r="L247" t="s">
        <v>27</v>
      </c>
      <c r="M247" t="s">
        <v>28</v>
      </c>
      <c r="N247" t="s">
        <v>62</v>
      </c>
      <c r="O247" t="s">
        <v>63</v>
      </c>
      <c r="P247">
        <v>10</v>
      </c>
      <c r="Q247" t="s">
        <v>42</v>
      </c>
      <c r="R247" t="s">
        <v>43</v>
      </c>
      <c r="S247">
        <v>4.2</v>
      </c>
      <c r="T247">
        <v>3</v>
      </c>
      <c r="U247" t="s">
        <v>566</v>
      </c>
      <c r="V247" s="1">
        <v>43509</v>
      </c>
      <c r="W247">
        <v>2</v>
      </c>
      <c r="X247" t="s">
        <v>586</v>
      </c>
    </row>
    <row r="248" spans="1:24" x14ac:dyDescent="0.25">
      <c r="A248" t="s">
        <v>426</v>
      </c>
      <c r="B248">
        <v>10295</v>
      </c>
      <c r="C248" t="s">
        <v>22</v>
      </c>
      <c r="D248" s="1">
        <v>24995</v>
      </c>
      <c r="E248" t="s">
        <v>47</v>
      </c>
      <c r="F248" t="s">
        <v>24</v>
      </c>
      <c r="G248" t="s">
        <v>25</v>
      </c>
      <c r="H248" t="s">
        <v>70</v>
      </c>
      <c r="I248" s="1">
        <v>42555</v>
      </c>
      <c r="J248" t="s">
        <v>585</v>
      </c>
      <c r="K248" s="1" t="s">
        <v>500</v>
      </c>
      <c r="L248" t="s">
        <v>27</v>
      </c>
      <c r="M248" t="s">
        <v>28</v>
      </c>
      <c r="N248" t="s">
        <v>29</v>
      </c>
      <c r="O248" t="s">
        <v>89</v>
      </c>
      <c r="P248">
        <v>18</v>
      </c>
      <c r="Q248" t="s">
        <v>72</v>
      </c>
      <c r="R248" t="s">
        <v>112</v>
      </c>
      <c r="S248">
        <v>2.6</v>
      </c>
      <c r="T248">
        <v>4</v>
      </c>
      <c r="U248" t="s">
        <v>565</v>
      </c>
      <c r="V248" s="1">
        <v>43514</v>
      </c>
      <c r="W248">
        <v>4</v>
      </c>
      <c r="X248" t="s">
        <v>586</v>
      </c>
    </row>
    <row r="249" spans="1:24" x14ac:dyDescent="0.25">
      <c r="A249" t="s">
        <v>427</v>
      </c>
      <c r="B249">
        <v>10260</v>
      </c>
      <c r="C249" t="s">
        <v>22</v>
      </c>
      <c r="D249" s="1">
        <v>27081</v>
      </c>
      <c r="E249" t="s">
        <v>23</v>
      </c>
      <c r="F249" t="s">
        <v>24</v>
      </c>
      <c r="G249" t="s">
        <v>25</v>
      </c>
      <c r="H249" t="s">
        <v>26</v>
      </c>
      <c r="I249" s="1">
        <v>39818</v>
      </c>
      <c r="J249" t="s">
        <v>581</v>
      </c>
      <c r="K249" s="1">
        <v>43311</v>
      </c>
      <c r="L249" t="s">
        <v>161</v>
      </c>
      <c r="M249" t="s">
        <v>39</v>
      </c>
      <c r="N249" t="s">
        <v>29</v>
      </c>
      <c r="O249" t="s">
        <v>30</v>
      </c>
      <c r="P249">
        <v>22</v>
      </c>
      <c r="Q249" t="s">
        <v>57</v>
      </c>
      <c r="R249" t="s">
        <v>43</v>
      </c>
      <c r="S249">
        <v>4.5999999999999996</v>
      </c>
      <c r="T249">
        <v>5</v>
      </c>
      <c r="U249" t="s">
        <v>564</v>
      </c>
      <c r="V249" s="1">
        <v>43136</v>
      </c>
      <c r="W249">
        <v>7</v>
      </c>
      <c r="X249" t="s">
        <v>586</v>
      </c>
    </row>
    <row r="250" spans="1:24" x14ac:dyDescent="0.25">
      <c r="A250" t="s">
        <v>428</v>
      </c>
      <c r="B250">
        <v>10233</v>
      </c>
      <c r="C250" t="s">
        <v>46</v>
      </c>
      <c r="D250" s="1">
        <v>31528</v>
      </c>
      <c r="E250" t="s">
        <v>23</v>
      </c>
      <c r="F250" t="s">
        <v>36</v>
      </c>
      <c r="G250" t="s">
        <v>25</v>
      </c>
      <c r="H250" t="s">
        <v>26</v>
      </c>
      <c r="I250" s="1">
        <v>40420</v>
      </c>
      <c r="J250" t="s">
        <v>582</v>
      </c>
      <c r="K250" s="1" t="s">
        <v>500</v>
      </c>
      <c r="L250" t="s">
        <v>27</v>
      </c>
      <c r="M250" t="s">
        <v>28</v>
      </c>
      <c r="N250" t="s">
        <v>29</v>
      </c>
      <c r="O250" t="s">
        <v>89</v>
      </c>
      <c r="P250">
        <v>18</v>
      </c>
      <c r="Q250" t="s">
        <v>111</v>
      </c>
      <c r="R250" t="s">
        <v>43</v>
      </c>
      <c r="S250">
        <v>4.0999999999999996</v>
      </c>
      <c r="T250">
        <v>3</v>
      </c>
      <c r="U250" t="s">
        <v>566</v>
      </c>
      <c r="V250" s="1">
        <v>43475</v>
      </c>
      <c r="W250">
        <v>13</v>
      </c>
      <c r="X250" t="s">
        <v>586</v>
      </c>
    </row>
    <row r="251" spans="1:24" x14ac:dyDescent="0.25">
      <c r="A251" t="s">
        <v>429</v>
      </c>
      <c r="B251">
        <v>10229</v>
      </c>
      <c r="C251" t="s">
        <v>430</v>
      </c>
      <c r="D251" s="1">
        <v>31825</v>
      </c>
      <c r="E251" t="s">
        <v>23</v>
      </c>
      <c r="F251" t="s">
        <v>54</v>
      </c>
      <c r="G251" t="s">
        <v>25</v>
      </c>
      <c r="H251" t="s">
        <v>70</v>
      </c>
      <c r="I251" s="1">
        <v>42009</v>
      </c>
      <c r="J251" t="s">
        <v>584</v>
      </c>
      <c r="K251" s="1">
        <v>42308</v>
      </c>
      <c r="L251" t="s">
        <v>48</v>
      </c>
      <c r="M251" t="s">
        <v>39</v>
      </c>
      <c r="N251" t="s">
        <v>40</v>
      </c>
      <c r="O251" t="s">
        <v>41</v>
      </c>
      <c r="P251">
        <v>4</v>
      </c>
      <c r="Q251" t="s">
        <v>31</v>
      </c>
      <c r="R251" t="s">
        <v>43</v>
      </c>
      <c r="S251">
        <v>4.2</v>
      </c>
      <c r="T251">
        <v>3</v>
      </c>
      <c r="U251" t="s">
        <v>566</v>
      </c>
      <c r="V251" s="1">
        <v>42114</v>
      </c>
      <c r="W251">
        <v>2</v>
      </c>
      <c r="X251" t="s">
        <v>584</v>
      </c>
    </row>
    <row r="252" spans="1:24" x14ac:dyDescent="0.25">
      <c r="A252" t="s">
        <v>432</v>
      </c>
      <c r="B252">
        <v>10169</v>
      </c>
      <c r="C252" t="s">
        <v>22</v>
      </c>
      <c r="D252" s="1">
        <v>32334</v>
      </c>
      <c r="E252" t="s">
        <v>47</v>
      </c>
      <c r="F252" t="s">
        <v>36</v>
      </c>
      <c r="G252" t="s">
        <v>25</v>
      </c>
      <c r="H252" t="s">
        <v>70</v>
      </c>
      <c r="I252" s="1">
        <v>41911</v>
      </c>
      <c r="J252" t="s">
        <v>584</v>
      </c>
      <c r="K252" s="1" t="s">
        <v>500</v>
      </c>
      <c r="L252" t="s">
        <v>27</v>
      </c>
      <c r="M252" t="s">
        <v>28</v>
      </c>
      <c r="N252" t="s">
        <v>29</v>
      </c>
      <c r="O252" t="s">
        <v>52</v>
      </c>
      <c r="P252">
        <v>16</v>
      </c>
      <c r="Q252" t="s">
        <v>31</v>
      </c>
      <c r="R252" t="s">
        <v>43</v>
      </c>
      <c r="S252">
        <v>3.51</v>
      </c>
      <c r="T252">
        <v>3</v>
      </c>
      <c r="U252" t="s">
        <v>566</v>
      </c>
      <c r="V252" s="1">
        <v>43514</v>
      </c>
      <c r="W252">
        <v>2</v>
      </c>
      <c r="X252" t="s">
        <v>586</v>
      </c>
    </row>
    <row r="253" spans="1:24" x14ac:dyDescent="0.25">
      <c r="A253" t="s">
        <v>433</v>
      </c>
      <c r="B253">
        <v>10071</v>
      </c>
      <c r="C253" t="s">
        <v>22</v>
      </c>
      <c r="D253" s="1">
        <v>27463</v>
      </c>
      <c r="E253" t="s">
        <v>47</v>
      </c>
      <c r="F253" t="s">
        <v>24</v>
      </c>
      <c r="G253" t="s">
        <v>25</v>
      </c>
      <c r="H253" t="s">
        <v>105</v>
      </c>
      <c r="I253" s="1">
        <v>41547</v>
      </c>
      <c r="J253" t="s">
        <v>583</v>
      </c>
      <c r="K253" s="1" t="s">
        <v>500</v>
      </c>
      <c r="L253" t="s">
        <v>27</v>
      </c>
      <c r="M253" t="s">
        <v>28</v>
      </c>
      <c r="N253" t="s">
        <v>29</v>
      </c>
      <c r="O253" t="s">
        <v>56</v>
      </c>
      <c r="Q253" t="s">
        <v>57</v>
      </c>
      <c r="R253" t="s">
        <v>43</v>
      </c>
      <c r="S253">
        <v>5</v>
      </c>
      <c r="T253">
        <v>5</v>
      </c>
      <c r="U253" t="s">
        <v>564</v>
      </c>
      <c r="V253" s="1">
        <v>43502</v>
      </c>
      <c r="W253">
        <v>14</v>
      </c>
      <c r="X253" t="s">
        <v>586</v>
      </c>
    </row>
    <row r="254" spans="1:24" x14ac:dyDescent="0.25">
      <c r="A254" t="s">
        <v>434</v>
      </c>
      <c r="B254">
        <v>10179</v>
      </c>
      <c r="C254" t="s">
        <v>233</v>
      </c>
      <c r="D254" s="1">
        <v>29690</v>
      </c>
      <c r="E254" t="s">
        <v>47</v>
      </c>
      <c r="F254" t="s">
        <v>36</v>
      </c>
      <c r="G254" t="s">
        <v>25</v>
      </c>
      <c r="H254" t="s">
        <v>26</v>
      </c>
      <c r="I254" s="1">
        <v>41912</v>
      </c>
      <c r="J254" t="s">
        <v>584</v>
      </c>
      <c r="K254" s="1" t="s">
        <v>500</v>
      </c>
      <c r="L254" t="s">
        <v>27</v>
      </c>
      <c r="M254" t="s">
        <v>28</v>
      </c>
      <c r="N254" t="s">
        <v>40</v>
      </c>
      <c r="O254" t="s">
        <v>76</v>
      </c>
      <c r="P254">
        <v>7</v>
      </c>
      <c r="Q254" t="s">
        <v>31</v>
      </c>
      <c r="R254" t="s">
        <v>43</v>
      </c>
      <c r="S254">
        <v>3.31</v>
      </c>
      <c r="T254">
        <v>3</v>
      </c>
      <c r="U254" t="s">
        <v>566</v>
      </c>
      <c r="V254" s="1">
        <v>43472</v>
      </c>
      <c r="W254">
        <v>7</v>
      </c>
      <c r="X254" t="s">
        <v>586</v>
      </c>
    </row>
    <row r="255" spans="1:24" x14ac:dyDescent="0.25">
      <c r="A255" t="s">
        <v>435</v>
      </c>
      <c r="B255">
        <v>10091</v>
      </c>
      <c r="C255" t="s">
        <v>22</v>
      </c>
      <c r="D255" s="1">
        <v>31283</v>
      </c>
      <c r="E255" t="s">
        <v>47</v>
      </c>
      <c r="F255" t="s">
        <v>36</v>
      </c>
      <c r="G255" t="s">
        <v>25</v>
      </c>
      <c r="H255" t="s">
        <v>26</v>
      </c>
      <c r="I255" s="1">
        <v>41505</v>
      </c>
      <c r="J255" t="s">
        <v>583</v>
      </c>
      <c r="K255" s="1" t="s">
        <v>500</v>
      </c>
      <c r="L255" t="s">
        <v>27</v>
      </c>
      <c r="M255" t="s">
        <v>28</v>
      </c>
      <c r="N255" t="s">
        <v>29</v>
      </c>
      <c r="O255" t="s">
        <v>59</v>
      </c>
      <c r="P255">
        <v>11</v>
      </c>
      <c r="Q255" t="s">
        <v>31</v>
      </c>
      <c r="R255" t="s">
        <v>43</v>
      </c>
      <c r="S255">
        <v>4.8099999999999996</v>
      </c>
      <c r="T255">
        <v>4</v>
      </c>
      <c r="U255" t="s">
        <v>565</v>
      </c>
      <c r="V255" s="1">
        <v>43511</v>
      </c>
      <c r="W255">
        <v>15</v>
      </c>
      <c r="X255" t="s">
        <v>586</v>
      </c>
    </row>
    <row r="256" spans="1:24" x14ac:dyDescent="0.25">
      <c r="A256" t="s">
        <v>436</v>
      </c>
      <c r="B256">
        <v>10178</v>
      </c>
      <c r="C256" t="s">
        <v>85</v>
      </c>
      <c r="D256" s="1">
        <v>25607</v>
      </c>
      <c r="E256" t="s">
        <v>23</v>
      </c>
      <c r="F256" t="s">
        <v>36</v>
      </c>
      <c r="G256" t="s">
        <v>25</v>
      </c>
      <c r="H256" t="s">
        <v>26</v>
      </c>
      <c r="I256" s="1">
        <v>42009</v>
      </c>
      <c r="J256" t="s">
        <v>584</v>
      </c>
      <c r="K256" s="1" t="s">
        <v>500</v>
      </c>
      <c r="L256" t="s">
        <v>27</v>
      </c>
      <c r="M256" t="s">
        <v>28</v>
      </c>
      <c r="N256" t="s">
        <v>40</v>
      </c>
      <c r="O256" t="s">
        <v>41</v>
      </c>
      <c r="P256">
        <v>4</v>
      </c>
      <c r="Q256" t="s">
        <v>67</v>
      </c>
      <c r="R256" t="s">
        <v>43</v>
      </c>
      <c r="S256">
        <v>3.32</v>
      </c>
      <c r="T256">
        <v>3</v>
      </c>
      <c r="U256" t="s">
        <v>566</v>
      </c>
      <c r="V256" s="1">
        <v>43479</v>
      </c>
      <c r="W256">
        <v>16</v>
      </c>
      <c r="X256" t="s">
        <v>586</v>
      </c>
    </row>
    <row r="257" spans="1:24" x14ac:dyDescent="0.25">
      <c r="A257" t="s">
        <v>437</v>
      </c>
      <c r="B257">
        <v>10039</v>
      </c>
      <c r="C257" t="s">
        <v>288</v>
      </c>
      <c r="D257" s="1">
        <v>32282</v>
      </c>
      <c r="E257" t="s">
        <v>47</v>
      </c>
      <c r="F257" t="s">
        <v>24</v>
      </c>
      <c r="G257" t="s">
        <v>25</v>
      </c>
      <c r="H257" t="s">
        <v>26</v>
      </c>
      <c r="I257" s="1">
        <v>42125</v>
      </c>
      <c r="J257" t="s">
        <v>584</v>
      </c>
      <c r="K257" s="1" t="s">
        <v>500</v>
      </c>
      <c r="L257" t="s">
        <v>27</v>
      </c>
      <c r="M257" t="s">
        <v>28</v>
      </c>
      <c r="N257" t="s">
        <v>119</v>
      </c>
      <c r="O257" t="s">
        <v>120</v>
      </c>
      <c r="P257">
        <v>1</v>
      </c>
      <c r="Q257" t="s">
        <v>205</v>
      </c>
      <c r="R257" t="s">
        <v>43</v>
      </c>
      <c r="S257">
        <v>5</v>
      </c>
      <c r="T257">
        <v>3</v>
      </c>
      <c r="U257" t="s">
        <v>566</v>
      </c>
      <c r="V257" s="1">
        <v>43480</v>
      </c>
      <c r="W257">
        <v>2</v>
      </c>
      <c r="X257" t="s">
        <v>586</v>
      </c>
    </row>
    <row r="258" spans="1:24" x14ac:dyDescent="0.25">
      <c r="A258" t="s">
        <v>438</v>
      </c>
      <c r="B258">
        <v>10095</v>
      </c>
      <c r="C258" t="s">
        <v>46</v>
      </c>
      <c r="D258" s="1">
        <v>31802</v>
      </c>
      <c r="E258" t="s">
        <v>47</v>
      </c>
      <c r="F258" t="s">
        <v>24</v>
      </c>
      <c r="G258" t="s">
        <v>25</v>
      </c>
      <c r="H258" t="s">
        <v>26</v>
      </c>
      <c r="I258" s="1">
        <v>40112</v>
      </c>
      <c r="J258" t="s">
        <v>581</v>
      </c>
      <c r="K258" s="1">
        <v>42102</v>
      </c>
      <c r="L258" t="s">
        <v>306</v>
      </c>
      <c r="M258" t="s">
        <v>39</v>
      </c>
      <c r="N258" t="s">
        <v>29</v>
      </c>
      <c r="O258" t="s">
        <v>30</v>
      </c>
      <c r="P258">
        <v>22</v>
      </c>
      <c r="Q258" t="s">
        <v>111</v>
      </c>
      <c r="R258" t="s">
        <v>43</v>
      </c>
      <c r="S258">
        <v>4.68</v>
      </c>
      <c r="T258">
        <v>4</v>
      </c>
      <c r="U258" t="s">
        <v>565</v>
      </c>
      <c r="V258" s="1">
        <v>42096</v>
      </c>
      <c r="W258">
        <v>20</v>
      </c>
      <c r="X258" t="s">
        <v>584</v>
      </c>
    </row>
    <row r="259" spans="1:24" x14ac:dyDescent="0.25">
      <c r="A259" t="s">
        <v>439</v>
      </c>
      <c r="B259">
        <v>10027</v>
      </c>
      <c r="C259" t="s">
        <v>46</v>
      </c>
      <c r="D259" s="1">
        <v>23314</v>
      </c>
      <c r="E259" t="s">
        <v>23</v>
      </c>
      <c r="F259" t="s">
        <v>24</v>
      </c>
      <c r="G259" t="s">
        <v>25</v>
      </c>
      <c r="H259" t="s">
        <v>26</v>
      </c>
      <c r="I259" s="1">
        <v>41911</v>
      </c>
      <c r="J259" t="s">
        <v>584</v>
      </c>
      <c r="K259" s="1" t="s">
        <v>500</v>
      </c>
      <c r="L259" t="s">
        <v>27</v>
      </c>
      <c r="M259" t="s">
        <v>28</v>
      </c>
      <c r="N259" t="s">
        <v>29</v>
      </c>
      <c r="O259" t="s">
        <v>52</v>
      </c>
      <c r="P259">
        <v>16</v>
      </c>
      <c r="Q259" t="s">
        <v>42</v>
      </c>
      <c r="R259" t="s">
        <v>32</v>
      </c>
      <c r="S259">
        <v>4.3</v>
      </c>
      <c r="T259">
        <v>3</v>
      </c>
      <c r="U259" t="s">
        <v>566</v>
      </c>
      <c r="V259" s="1">
        <v>43493</v>
      </c>
      <c r="W259">
        <v>4</v>
      </c>
      <c r="X259" t="s">
        <v>586</v>
      </c>
    </row>
    <row r="260" spans="1:24" x14ac:dyDescent="0.25">
      <c r="A260" t="s">
        <v>440</v>
      </c>
      <c r="B260">
        <v>10291</v>
      </c>
      <c r="C260" t="s">
        <v>183</v>
      </c>
      <c r="D260" s="1">
        <v>30910</v>
      </c>
      <c r="E260" t="s">
        <v>23</v>
      </c>
      <c r="F260" t="s">
        <v>54</v>
      </c>
      <c r="G260" t="s">
        <v>25</v>
      </c>
      <c r="H260" t="s">
        <v>70</v>
      </c>
      <c r="I260" s="1">
        <v>41777</v>
      </c>
      <c r="J260" t="s">
        <v>584</v>
      </c>
      <c r="K260" s="1" t="s">
        <v>500</v>
      </c>
      <c r="L260" t="s">
        <v>27</v>
      </c>
      <c r="M260" t="s">
        <v>28</v>
      </c>
      <c r="N260" t="s">
        <v>136</v>
      </c>
      <c r="O260" t="s">
        <v>184</v>
      </c>
      <c r="P260">
        <v>15</v>
      </c>
      <c r="Q260" t="s">
        <v>72</v>
      </c>
      <c r="R260" t="s">
        <v>112</v>
      </c>
      <c r="S260">
        <v>2.4</v>
      </c>
      <c r="T260">
        <v>4</v>
      </c>
      <c r="U260" t="s">
        <v>565</v>
      </c>
      <c r="V260" s="1">
        <v>43481</v>
      </c>
      <c r="W260">
        <v>16</v>
      </c>
      <c r="X260" t="s">
        <v>586</v>
      </c>
    </row>
    <row r="261" spans="1:24" x14ac:dyDescent="0.25">
      <c r="A261" t="s">
        <v>441</v>
      </c>
      <c r="B261">
        <v>10153</v>
      </c>
      <c r="C261" t="s">
        <v>288</v>
      </c>
      <c r="D261" s="1">
        <v>31942</v>
      </c>
      <c r="E261" t="s">
        <v>47</v>
      </c>
      <c r="F261" t="s">
        <v>36</v>
      </c>
      <c r="G261" t="s">
        <v>25</v>
      </c>
      <c r="H261" t="s">
        <v>70</v>
      </c>
      <c r="I261" s="1">
        <v>40812</v>
      </c>
      <c r="J261" t="s">
        <v>582</v>
      </c>
      <c r="K261" s="1">
        <v>41542</v>
      </c>
      <c r="L261" t="s">
        <v>38</v>
      </c>
      <c r="M261" t="s">
        <v>39</v>
      </c>
      <c r="N261" t="s">
        <v>119</v>
      </c>
      <c r="O261" t="s">
        <v>120</v>
      </c>
      <c r="P261">
        <v>1</v>
      </c>
      <c r="Q261" t="s">
        <v>72</v>
      </c>
      <c r="R261" t="s">
        <v>43</v>
      </c>
      <c r="S261">
        <v>3.8</v>
      </c>
      <c r="T261">
        <v>4</v>
      </c>
      <c r="U261" t="s">
        <v>565</v>
      </c>
      <c r="V261" s="1">
        <v>41501</v>
      </c>
      <c r="W261">
        <v>17</v>
      </c>
      <c r="X261" t="s">
        <v>583</v>
      </c>
    </row>
    <row r="262" spans="1:24" x14ac:dyDescent="0.25">
      <c r="A262" t="s">
        <v>443</v>
      </c>
      <c r="B262">
        <v>10157</v>
      </c>
      <c r="C262" t="s">
        <v>22</v>
      </c>
      <c r="D262" s="1">
        <v>23775</v>
      </c>
      <c r="E262" t="s">
        <v>47</v>
      </c>
      <c r="F262" t="s">
        <v>24</v>
      </c>
      <c r="G262" t="s">
        <v>25</v>
      </c>
      <c r="H262" t="s">
        <v>26</v>
      </c>
      <c r="I262" s="1">
        <v>41285</v>
      </c>
      <c r="J262" t="s">
        <v>583</v>
      </c>
      <c r="K262" s="1" t="s">
        <v>500</v>
      </c>
      <c r="L262" t="s">
        <v>27</v>
      </c>
      <c r="M262" t="s">
        <v>28</v>
      </c>
      <c r="N262" t="s">
        <v>29</v>
      </c>
      <c r="O262" t="s">
        <v>66</v>
      </c>
      <c r="P262">
        <v>19</v>
      </c>
      <c r="Q262" t="s">
        <v>67</v>
      </c>
      <c r="R262" t="s">
        <v>43</v>
      </c>
      <c r="S262">
        <v>3.73</v>
      </c>
      <c r="T262">
        <v>3</v>
      </c>
      <c r="U262" t="s">
        <v>566</v>
      </c>
      <c r="V262" s="1">
        <v>43489</v>
      </c>
      <c r="W262">
        <v>16</v>
      </c>
      <c r="X262" t="s">
        <v>586</v>
      </c>
    </row>
    <row r="263" spans="1:24" x14ac:dyDescent="0.25">
      <c r="A263" t="s">
        <v>444</v>
      </c>
      <c r="B263">
        <v>10119</v>
      </c>
      <c r="C263" t="s">
        <v>75</v>
      </c>
      <c r="D263" s="1">
        <v>26735</v>
      </c>
      <c r="E263" t="s">
        <v>47</v>
      </c>
      <c r="F263" t="s">
        <v>36</v>
      </c>
      <c r="G263" t="s">
        <v>25</v>
      </c>
      <c r="H263" t="s">
        <v>70</v>
      </c>
      <c r="I263" s="1">
        <v>40704</v>
      </c>
      <c r="J263" t="s">
        <v>582</v>
      </c>
      <c r="K263" s="1" t="s">
        <v>500</v>
      </c>
      <c r="L263" t="s">
        <v>27</v>
      </c>
      <c r="M263" t="s">
        <v>28</v>
      </c>
      <c r="N263" t="s">
        <v>40</v>
      </c>
      <c r="O263" t="s">
        <v>165</v>
      </c>
      <c r="P263">
        <v>6</v>
      </c>
      <c r="Q263" t="s">
        <v>31</v>
      </c>
      <c r="R263" t="s">
        <v>43</v>
      </c>
      <c r="S263">
        <v>4.3</v>
      </c>
      <c r="T263">
        <v>3</v>
      </c>
      <c r="U263" t="s">
        <v>566</v>
      </c>
      <c r="V263" s="1">
        <v>43504</v>
      </c>
      <c r="W263">
        <v>19</v>
      </c>
      <c r="X263" t="s">
        <v>586</v>
      </c>
    </row>
    <row r="264" spans="1:24" x14ac:dyDescent="0.25">
      <c r="A264" t="s">
        <v>445</v>
      </c>
      <c r="B264">
        <v>10180</v>
      </c>
      <c r="C264" t="s">
        <v>181</v>
      </c>
      <c r="D264" s="1">
        <v>30356</v>
      </c>
      <c r="E264" t="s">
        <v>23</v>
      </c>
      <c r="F264" t="s">
        <v>36</v>
      </c>
      <c r="G264" t="s">
        <v>25</v>
      </c>
      <c r="H264" t="s">
        <v>105</v>
      </c>
      <c r="I264" s="1">
        <v>42551</v>
      </c>
      <c r="J264" t="s">
        <v>585</v>
      </c>
      <c r="K264" s="1" t="s">
        <v>500</v>
      </c>
      <c r="L264" t="s">
        <v>27</v>
      </c>
      <c r="M264" t="s">
        <v>28</v>
      </c>
      <c r="N264" t="s">
        <v>40</v>
      </c>
      <c r="O264" t="s">
        <v>76</v>
      </c>
      <c r="P264">
        <v>7</v>
      </c>
      <c r="Q264" t="s">
        <v>31</v>
      </c>
      <c r="R264" t="s">
        <v>43</v>
      </c>
      <c r="S264">
        <v>3.27</v>
      </c>
      <c r="T264">
        <v>4</v>
      </c>
      <c r="U264" t="s">
        <v>565</v>
      </c>
      <c r="V264" s="1">
        <v>43479</v>
      </c>
      <c r="W264">
        <v>13</v>
      </c>
      <c r="X264" t="s">
        <v>586</v>
      </c>
    </row>
    <row r="265" spans="1:24" x14ac:dyDescent="0.25">
      <c r="A265" t="s">
        <v>446</v>
      </c>
      <c r="B265">
        <v>10302</v>
      </c>
      <c r="C265" t="s">
        <v>22</v>
      </c>
      <c r="D265" s="1">
        <v>25039</v>
      </c>
      <c r="E265" t="s">
        <v>47</v>
      </c>
      <c r="F265" t="s">
        <v>36</v>
      </c>
      <c r="G265" t="s">
        <v>25</v>
      </c>
      <c r="H265" t="s">
        <v>26</v>
      </c>
      <c r="I265" s="1">
        <v>40959</v>
      </c>
      <c r="J265" t="s">
        <v>583</v>
      </c>
      <c r="K265" s="1" t="s">
        <v>500</v>
      </c>
      <c r="L265" t="s">
        <v>27</v>
      </c>
      <c r="M265" t="s">
        <v>28</v>
      </c>
      <c r="N265" t="s">
        <v>29</v>
      </c>
      <c r="O265" t="s">
        <v>71</v>
      </c>
      <c r="P265">
        <v>12</v>
      </c>
      <c r="Q265" t="s">
        <v>42</v>
      </c>
      <c r="R265" t="s">
        <v>194</v>
      </c>
      <c r="S265">
        <v>2.4</v>
      </c>
      <c r="T265">
        <v>2</v>
      </c>
      <c r="U265" t="s">
        <v>568</v>
      </c>
      <c r="V265" s="1">
        <v>43521</v>
      </c>
      <c r="W265">
        <v>20</v>
      </c>
      <c r="X265" t="s">
        <v>586</v>
      </c>
    </row>
    <row r="266" spans="1:24" x14ac:dyDescent="0.25">
      <c r="A266" t="s">
        <v>447</v>
      </c>
      <c r="B266">
        <v>10090</v>
      </c>
      <c r="C266" t="s">
        <v>122</v>
      </c>
      <c r="D266" s="1">
        <v>27667</v>
      </c>
      <c r="E266" t="s">
        <v>47</v>
      </c>
      <c r="F266" t="s">
        <v>36</v>
      </c>
      <c r="G266" t="s">
        <v>25</v>
      </c>
      <c r="H266" t="s">
        <v>26</v>
      </c>
      <c r="I266" s="1">
        <v>41184</v>
      </c>
      <c r="J266" t="s">
        <v>583</v>
      </c>
      <c r="K266" s="1" t="s">
        <v>500</v>
      </c>
      <c r="L266" t="s">
        <v>27</v>
      </c>
      <c r="M266" t="s">
        <v>28</v>
      </c>
      <c r="N266" t="s">
        <v>29</v>
      </c>
      <c r="O266" t="s">
        <v>124</v>
      </c>
      <c r="P266">
        <v>2</v>
      </c>
      <c r="Q266" t="s">
        <v>31</v>
      </c>
      <c r="R266" t="s">
        <v>43</v>
      </c>
      <c r="S266">
        <v>4.83</v>
      </c>
      <c r="T266">
        <v>5</v>
      </c>
      <c r="U266" t="s">
        <v>564</v>
      </c>
      <c r="V266" s="1">
        <v>43510</v>
      </c>
      <c r="W266">
        <v>15</v>
      </c>
      <c r="X266" t="s">
        <v>586</v>
      </c>
    </row>
    <row r="267" spans="1:24" x14ac:dyDescent="0.25">
      <c r="A267" t="s">
        <v>448</v>
      </c>
      <c r="B267">
        <v>10030</v>
      </c>
      <c r="C267" t="s">
        <v>22</v>
      </c>
      <c r="D267" s="1">
        <v>26749</v>
      </c>
      <c r="E267" t="s">
        <v>47</v>
      </c>
      <c r="F267" t="s">
        <v>54</v>
      </c>
      <c r="G267" t="s">
        <v>25</v>
      </c>
      <c r="H267" t="s">
        <v>26</v>
      </c>
      <c r="I267" s="1">
        <v>41407</v>
      </c>
      <c r="J267" t="s">
        <v>583</v>
      </c>
      <c r="K267" s="1">
        <v>42184</v>
      </c>
      <c r="L267" t="s">
        <v>83</v>
      </c>
      <c r="M267" t="s">
        <v>39</v>
      </c>
      <c r="N267" t="s">
        <v>29</v>
      </c>
      <c r="O267" t="s">
        <v>80</v>
      </c>
      <c r="P267">
        <v>14</v>
      </c>
      <c r="Q267" t="s">
        <v>31</v>
      </c>
      <c r="R267" t="s">
        <v>32</v>
      </c>
      <c r="S267">
        <v>4.0999999999999996</v>
      </c>
      <c r="T267">
        <v>4</v>
      </c>
      <c r="U267" t="s">
        <v>565</v>
      </c>
      <c r="V267" s="1">
        <v>42065</v>
      </c>
      <c r="W267">
        <v>16</v>
      </c>
      <c r="X267" t="s">
        <v>584</v>
      </c>
    </row>
    <row r="268" spans="1:24" x14ac:dyDescent="0.25">
      <c r="A268" t="s">
        <v>449</v>
      </c>
      <c r="B268">
        <v>10278</v>
      </c>
      <c r="C268" t="s">
        <v>22</v>
      </c>
      <c r="D268" s="1">
        <v>30188</v>
      </c>
      <c r="E268" t="s">
        <v>47</v>
      </c>
      <c r="F268" t="s">
        <v>54</v>
      </c>
      <c r="G268" t="s">
        <v>25</v>
      </c>
      <c r="H268" t="s">
        <v>87</v>
      </c>
      <c r="I268" s="1">
        <v>40553</v>
      </c>
      <c r="J268" t="s">
        <v>582</v>
      </c>
      <c r="K268" s="1" t="s">
        <v>500</v>
      </c>
      <c r="L268" t="s">
        <v>27</v>
      </c>
      <c r="M268" t="s">
        <v>28</v>
      </c>
      <c r="N268" t="s">
        <v>29</v>
      </c>
      <c r="O268" t="s">
        <v>49</v>
      </c>
      <c r="P268">
        <v>20</v>
      </c>
      <c r="Q268" t="s">
        <v>57</v>
      </c>
      <c r="R268" t="s">
        <v>43</v>
      </c>
      <c r="S268">
        <v>4.0999999999999996</v>
      </c>
      <c r="T268">
        <v>4</v>
      </c>
      <c r="U268" t="s">
        <v>565</v>
      </c>
      <c r="V268" s="1">
        <v>43503</v>
      </c>
      <c r="W268">
        <v>9</v>
      </c>
      <c r="X268" t="s">
        <v>586</v>
      </c>
    </row>
    <row r="269" spans="1:24" x14ac:dyDescent="0.25">
      <c r="A269" t="s">
        <v>450</v>
      </c>
      <c r="B269">
        <v>10307</v>
      </c>
      <c r="C269" t="s">
        <v>135</v>
      </c>
      <c r="D269" s="1">
        <v>27158</v>
      </c>
      <c r="E269" t="s">
        <v>23</v>
      </c>
      <c r="F269" t="s">
        <v>36</v>
      </c>
      <c r="G269" t="s">
        <v>25</v>
      </c>
      <c r="H269" t="s">
        <v>26</v>
      </c>
      <c r="I269" s="1">
        <v>41771</v>
      </c>
      <c r="J269" t="s">
        <v>584</v>
      </c>
      <c r="K269" s="1" t="s">
        <v>500</v>
      </c>
      <c r="L269" t="s">
        <v>27</v>
      </c>
      <c r="M269" t="s">
        <v>28</v>
      </c>
      <c r="N269" t="s">
        <v>136</v>
      </c>
      <c r="O269" t="s">
        <v>158</v>
      </c>
      <c r="P269">
        <v>21</v>
      </c>
      <c r="Q269" t="s">
        <v>205</v>
      </c>
      <c r="R269" t="s">
        <v>194</v>
      </c>
      <c r="S269">
        <v>1.81</v>
      </c>
      <c r="T269">
        <v>2</v>
      </c>
      <c r="U269" t="s">
        <v>568</v>
      </c>
      <c r="V269" s="1">
        <v>43482</v>
      </c>
      <c r="W269">
        <v>5</v>
      </c>
      <c r="X269" t="s">
        <v>586</v>
      </c>
    </row>
    <row r="270" spans="1:24" x14ac:dyDescent="0.25">
      <c r="A270" t="s">
        <v>451</v>
      </c>
      <c r="B270">
        <v>10147</v>
      </c>
      <c r="C270" t="s">
        <v>128</v>
      </c>
      <c r="D270" s="1">
        <v>31656</v>
      </c>
      <c r="E270" t="s">
        <v>23</v>
      </c>
      <c r="F270" t="s">
        <v>24</v>
      </c>
      <c r="G270" t="s">
        <v>25</v>
      </c>
      <c r="H270" t="s">
        <v>26</v>
      </c>
      <c r="I270" s="1">
        <v>41911</v>
      </c>
      <c r="J270" t="s">
        <v>584</v>
      </c>
      <c r="K270" s="1" t="s">
        <v>500</v>
      </c>
      <c r="L270" t="s">
        <v>27</v>
      </c>
      <c r="M270" t="s">
        <v>28</v>
      </c>
      <c r="N270" t="s">
        <v>119</v>
      </c>
      <c r="O270" t="s">
        <v>120</v>
      </c>
      <c r="P270">
        <v>1</v>
      </c>
      <c r="Q270" t="s">
        <v>42</v>
      </c>
      <c r="R270" t="s">
        <v>43</v>
      </c>
      <c r="S270">
        <v>3.9</v>
      </c>
      <c r="T270">
        <v>5</v>
      </c>
      <c r="U270" t="s">
        <v>564</v>
      </c>
      <c r="V270" s="1">
        <v>43483</v>
      </c>
      <c r="W270">
        <v>9</v>
      </c>
      <c r="X270" t="s">
        <v>586</v>
      </c>
    </row>
    <row r="271" spans="1:24" x14ac:dyDescent="0.25">
      <c r="A271" t="s">
        <v>452</v>
      </c>
      <c r="B271">
        <v>10266</v>
      </c>
      <c r="C271" t="s">
        <v>22</v>
      </c>
      <c r="D271" s="1">
        <v>31120</v>
      </c>
      <c r="E271" t="s">
        <v>23</v>
      </c>
      <c r="F271" t="s">
        <v>36</v>
      </c>
      <c r="G271" t="s">
        <v>25</v>
      </c>
      <c r="H271" t="s">
        <v>105</v>
      </c>
      <c r="I271" s="1">
        <v>41687</v>
      </c>
      <c r="J271" t="s">
        <v>584</v>
      </c>
      <c r="K271" s="1" t="s">
        <v>500</v>
      </c>
      <c r="L271" t="s">
        <v>27</v>
      </c>
      <c r="M271" t="s">
        <v>28</v>
      </c>
      <c r="N271" t="s">
        <v>29</v>
      </c>
      <c r="O271" t="s">
        <v>89</v>
      </c>
      <c r="P271">
        <v>18</v>
      </c>
      <c r="Q271" t="s">
        <v>31</v>
      </c>
      <c r="R271" t="s">
        <v>43</v>
      </c>
      <c r="S271">
        <v>4.7</v>
      </c>
      <c r="T271">
        <v>3</v>
      </c>
      <c r="U271" t="s">
        <v>566</v>
      </c>
      <c r="V271" s="1">
        <v>43476</v>
      </c>
      <c r="W271">
        <v>4</v>
      </c>
      <c r="X271" t="s">
        <v>586</v>
      </c>
    </row>
    <row r="272" spans="1:24" x14ac:dyDescent="0.25">
      <c r="A272" t="s">
        <v>453</v>
      </c>
      <c r="B272">
        <v>10241</v>
      </c>
      <c r="C272" t="s">
        <v>135</v>
      </c>
      <c r="D272" s="1">
        <v>32640</v>
      </c>
      <c r="E272" t="s">
        <v>47</v>
      </c>
      <c r="F272" t="s">
        <v>36</v>
      </c>
      <c r="G272" t="s">
        <v>25</v>
      </c>
      <c r="H272" t="s">
        <v>70</v>
      </c>
      <c r="I272" s="1">
        <v>40448</v>
      </c>
      <c r="J272" t="s">
        <v>582</v>
      </c>
      <c r="K272" s="1" t="s">
        <v>500</v>
      </c>
      <c r="L272" t="s">
        <v>27</v>
      </c>
      <c r="M272" t="s">
        <v>28</v>
      </c>
      <c r="N272" t="s">
        <v>136</v>
      </c>
      <c r="O272" t="s">
        <v>137</v>
      </c>
      <c r="P272">
        <v>17</v>
      </c>
      <c r="Q272" t="s">
        <v>42</v>
      </c>
      <c r="R272" t="s">
        <v>43</v>
      </c>
      <c r="S272">
        <v>4.0999999999999996</v>
      </c>
      <c r="T272">
        <v>4</v>
      </c>
      <c r="U272" t="s">
        <v>565</v>
      </c>
      <c r="V272" s="1">
        <v>43496</v>
      </c>
      <c r="W272">
        <v>18</v>
      </c>
      <c r="X272" t="s">
        <v>586</v>
      </c>
    </row>
    <row r="273" spans="1:24" x14ac:dyDescent="0.25">
      <c r="A273" t="s">
        <v>454</v>
      </c>
      <c r="B273">
        <v>10158</v>
      </c>
      <c r="C273" t="s">
        <v>122</v>
      </c>
      <c r="D273" s="1">
        <v>28577</v>
      </c>
      <c r="E273" t="s">
        <v>47</v>
      </c>
      <c r="F273" t="s">
        <v>36</v>
      </c>
      <c r="G273" t="s">
        <v>25</v>
      </c>
      <c r="H273" t="s">
        <v>70</v>
      </c>
      <c r="I273" s="1">
        <v>39821</v>
      </c>
      <c r="J273" t="s">
        <v>581</v>
      </c>
      <c r="K273" s="1" t="s">
        <v>500</v>
      </c>
      <c r="L273" t="s">
        <v>27</v>
      </c>
      <c r="M273" t="s">
        <v>28</v>
      </c>
      <c r="N273" t="s">
        <v>29</v>
      </c>
      <c r="O273" t="s">
        <v>124</v>
      </c>
      <c r="P273">
        <v>2</v>
      </c>
      <c r="Q273" t="s">
        <v>42</v>
      </c>
      <c r="R273" t="s">
        <v>43</v>
      </c>
      <c r="S273">
        <v>3.73</v>
      </c>
      <c r="T273">
        <v>4</v>
      </c>
      <c r="U273" t="s">
        <v>565</v>
      </c>
      <c r="V273" s="1">
        <v>43489</v>
      </c>
      <c r="W273">
        <v>12</v>
      </c>
      <c r="X273" t="s">
        <v>586</v>
      </c>
    </row>
    <row r="274" spans="1:24" x14ac:dyDescent="0.25">
      <c r="A274" t="s">
        <v>455</v>
      </c>
      <c r="B274">
        <v>10117</v>
      </c>
      <c r="C274" t="s">
        <v>22</v>
      </c>
      <c r="D274" s="1">
        <v>30231</v>
      </c>
      <c r="E274" t="s">
        <v>23</v>
      </c>
      <c r="F274" t="s">
        <v>36</v>
      </c>
      <c r="G274" t="s">
        <v>25</v>
      </c>
      <c r="H274" t="s">
        <v>26</v>
      </c>
      <c r="I274" s="1">
        <v>42009</v>
      </c>
      <c r="J274" t="s">
        <v>584</v>
      </c>
      <c r="K274" s="1" t="s">
        <v>500</v>
      </c>
      <c r="L274" t="s">
        <v>27</v>
      </c>
      <c r="M274" t="s">
        <v>28</v>
      </c>
      <c r="N274" t="s">
        <v>29</v>
      </c>
      <c r="O274" t="s">
        <v>30</v>
      </c>
      <c r="P274">
        <v>22</v>
      </c>
      <c r="Q274" t="s">
        <v>57</v>
      </c>
      <c r="R274" t="s">
        <v>43</v>
      </c>
      <c r="S274">
        <v>4.3600000000000003</v>
      </c>
      <c r="T274">
        <v>5</v>
      </c>
      <c r="U274" t="s">
        <v>564</v>
      </c>
      <c r="V274" s="1">
        <v>43489</v>
      </c>
      <c r="W274">
        <v>10</v>
      </c>
      <c r="X274" t="s">
        <v>586</v>
      </c>
    </row>
    <row r="275" spans="1:24" x14ac:dyDescent="0.25">
      <c r="A275" t="s">
        <v>456</v>
      </c>
      <c r="B275">
        <v>10209</v>
      </c>
      <c r="C275" t="s">
        <v>22</v>
      </c>
      <c r="D275" s="1">
        <v>25065</v>
      </c>
      <c r="E275" t="s">
        <v>47</v>
      </c>
      <c r="F275" t="s">
        <v>24</v>
      </c>
      <c r="G275" t="s">
        <v>99</v>
      </c>
      <c r="H275" t="s">
        <v>105</v>
      </c>
      <c r="I275" s="1">
        <v>41043</v>
      </c>
      <c r="J275" t="s">
        <v>583</v>
      </c>
      <c r="K275" s="1" t="s">
        <v>500</v>
      </c>
      <c r="L275" t="s">
        <v>27</v>
      </c>
      <c r="M275" t="s">
        <v>28</v>
      </c>
      <c r="N275" t="s">
        <v>29</v>
      </c>
      <c r="O275" t="s">
        <v>52</v>
      </c>
      <c r="P275">
        <v>16</v>
      </c>
      <c r="Q275" t="s">
        <v>42</v>
      </c>
      <c r="R275" t="s">
        <v>43</v>
      </c>
      <c r="S275">
        <v>3.4</v>
      </c>
      <c r="T275">
        <v>5</v>
      </c>
      <c r="U275" t="s">
        <v>564</v>
      </c>
      <c r="V275" s="1">
        <v>43496</v>
      </c>
      <c r="W275">
        <v>13</v>
      </c>
      <c r="X275" t="s">
        <v>586</v>
      </c>
    </row>
    <row r="276" spans="1:24" x14ac:dyDescent="0.25">
      <c r="A276" t="s">
        <v>457</v>
      </c>
      <c r="B276">
        <v>10024</v>
      </c>
      <c r="C276" t="s">
        <v>61</v>
      </c>
      <c r="D276" s="1">
        <v>30442</v>
      </c>
      <c r="E276" t="s">
        <v>23</v>
      </c>
      <c r="F276" t="s">
        <v>24</v>
      </c>
      <c r="G276" t="s">
        <v>25</v>
      </c>
      <c r="H276" t="s">
        <v>26</v>
      </c>
      <c r="I276" s="1">
        <v>41827</v>
      </c>
      <c r="J276" t="s">
        <v>584</v>
      </c>
      <c r="K276" s="1" t="s">
        <v>500</v>
      </c>
      <c r="L276" t="s">
        <v>27</v>
      </c>
      <c r="M276" t="s">
        <v>28</v>
      </c>
      <c r="N276" t="s">
        <v>62</v>
      </c>
      <c r="O276" t="s">
        <v>63</v>
      </c>
      <c r="P276">
        <v>10</v>
      </c>
      <c r="Q276" t="s">
        <v>31</v>
      </c>
      <c r="R276" t="s">
        <v>32</v>
      </c>
      <c r="S276">
        <v>4.5</v>
      </c>
      <c r="T276">
        <v>5</v>
      </c>
      <c r="U276" t="s">
        <v>564</v>
      </c>
      <c r="V276" s="1">
        <v>43514</v>
      </c>
      <c r="W276">
        <v>1</v>
      </c>
      <c r="X276" t="s">
        <v>586</v>
      </c>
    </row>
    <row r="277" spans="1:24" x14ac:dyDescent="0.25">
      <c r="A277" t="s">
        <v>458</v>
      </c>
      <c r="B277">
        <v>10173</v>
      </c>
      <c r="C277" t="s">
        <v>199</v>
      </c>
      <c r="D277" s="1">
        <v>32074</v>
      </c>
      <c r="E277" t="s">
        <v>23</v>
      </c>
      <c r="F277" t="s">
        <v>36</v>
      </c>
      <c r="G277" t="s">
        <v>25</v>
      </c>
      <c r="H277" t="s">
        <v>26</v>
      </c>
      <c r="I277" s="1">
        <v>42845</v>
      </c>
      <c r="J277" t="s">
        <v>585</v>
      </c>
      <c r="K277" s="1" t="s">
        <v>500</v>
      </c>
      <c r="L277" t="s">
        <v>27</v>
      </c>
      <c r="M277" t="s">
        <v>28</v>
      </c>
      <c r="N277" t="s">
        <v>40</v>
      </c>
      <c r="O277" t="s">
        <v>201</v>
      </c>
      <c r="P277">
        <v>13</v>
      </c>
      <c r="Q277" t="s">
        <v>42</v>
      </c>
      <c r="R277" t="s">
        <v>43</v>
      </c>
      <c r="S277">
        <v>3.4</v>
      </c>
      <c r="T277">
        <v>3</v>
      </c>
      <c r="U277" t="s">
        <v>566</v>
      </c>
      <c r="V277" s="1">
        <v>43467</v>
      </c>
      <c r="W277">
        <v>14</v>
      </c>
      <c r="X277" t="s">
        <v>586</v>
      </c>
    </row>
    <row r="278" spans="1:24" x14ac:dyDescent="0.25">
      <c r="A278" t="s">
        <v>459</v>
      </c>
      <c r="B278">
        <v>10221</v>
      </c>
      <c r="C278" t="s">
        <v>22</v>
      </c>
      <c r="D278" s="1">
        <v>27487</v>
      </c>
      <c r="E278" t="s">
        <v>47</v>
      </c>
      <c r="F278" t="s">
        <v>36</v>
      </c>
      <c r="G278" t="s">
        <v>163</v>
      </c>
      <c r="H278" t="s">
        <v>70</v>
      </c>
      <c r="I278" s="1">
        <v>39930</v>
      </c>
      <c r="J278" t="s">
        <v>581</v>
      </c>
      <c r="K278" s="1">
        <v>41365</v>
      </c>
      <c r="L278" t="s">
        <v>79</v>
      </c>
      <c r="M278" t="s">
        <v>39</v>
      </c>
      <c r="N278" t="s">
        <v>29</v>
      </c>
      <c r="O278" t="s">
        <v>56</v>
      </c>
      <c r="P278">
        <v>39</v>
      </c>
      <c r="Q278" t="s">
        <v>72</v>
      </c>
      <c r="R278" t="s">
        <v>43</v>
      </c>
      <c r="S278">
        <v>4.5</v>
      </c>
      <c r="T278">
        <v>5</v>
      </c>
      <c r="U278" t="s">
        <v>564</v>
      </c>
      <c r="V278" s="1">
        <v>40954</v>
      </c>
      <c r="W278">
        <v>11</v>
      </c>
      <c r="X278" t="s">
        <v>583</v>
      </c>
    </row>
    <row r="279" spans="1:24" x14ac:dyDescent="0.25">
      <c r="A279" t="s">
        <v>460</v>
      </c>
      <c r="B279">
        <v>10146</v>
      </c>
      <c r="C279" t="s">
        <v>46</v>
      </c>
      <c r="D279" s="1">
        <v>19503</v>
      </c>
      <c r="E279" t="s">
        <v>47</v>
      </c>
      <c r="F279" t="s">
        <v>36</v>
      </c>
      <c r="G279" t="s">
        <v>25</v>
      </c>
      <c r="H279" t="s">
        <v>26</v>
      </c>
      <c r="I279" s="1">
        <v>40679</v>
      </c>
      <c r="J279" t="s">
        <v>582</v>
      </c>
      <c r="K279" s="1">
        <v>42924</v>
      </c>
      <c r="L279" t="s">
        <v>79</v>
      </c>
      <c r="M279" t="s">
        <v>39</v>
      </c>
      <c r="N279" t="s">
        <v>29</v>
      </c>
      <c r="O279" t="s">
        <v>52</v>
      </c>
      <c r="P279">
        <v>16</v>
      </c>
      <c r="Q279" t="s">
        <v>57</v>
      </c>
      <c r="R279" t="s">
        <v>43</v>
      </c>
      <c r="S279">
        <v>3.93</v>
      </c>
      <c r="T279">
        <v>3</v>
      </c>
      <c r="U279" t="s">
        <v>566</v>
      </c>
      <c r="V279" s="1">
        <v>42843</v>
      </c>
      <c r="W279">
        <v>3</v>
      </c>
      <c r="X279" t="s">
        <v>585</v>
      </c>
    </row>
    <row r="280" spans="1:24" x14ac:dyDescent="0.25">
      <c r="A280" t="s">
        <v>462</v>
      </c>
      <c r="B280">
        <v>10161</v>
      </c>
      <c r="C280" t="s">
        <v>135</v>
      </c>
      <c r="D280" s="1">
        <v>23869</v>
      </c>
      <c r="E280" t="s">
        <v>47</v>
      </c>
      <c r="F280" t="s">
        <v>24</v>
      </c>
      <c r="G280" t="s">
        <v>25</v>
      </c>
      <c r="H280" t="s">
        <v>70</v>
      </c>
      <c r="I280" s="1">
        <v>41911</v>
      </c>
      <c r="J280" t="s">
        <v>584</v>
      </c>
      <c r="K280" s="1" t="s">
        <v>500</v>
      </c>
      <c r="L280" t="s">
        <v>27</v>
      </c>
      <c r="M280" t="s">
        <v>28</v>
      </c>
      <c r="N280" t="s">
        <v>136</v>
      </c>
      <c r="O280" t="s">
        <v>158</v>
      </c>
      <c r="P280">
        <v>21</v>
      </c>
      <c r="Q280" t="s">
        <v>42</v>
      </c>
      <c r="R280" t="s">
        <v>43</v>
      </c>
      <c r="S280">
        <v>3.69</v>
      </c>
      <c r="T280">
        <v>3</v>
      </c>
      <c r="U280" t="s">
        <v>566</v>
      </c>
      <c r="V280" s="1">
        <v>43493</v>
      </c>
      <c r="W280">
        <v>18</v>
      </c>
      <c r="X280" t="s">
        <v>586</v>
      </c>
    </row>
    <row r="281" spans="1:24" x14ac:dyDescent="0.25">
      <c r="A281" t="s">
        <v>463</v>
      </c>
      <c r="B281">
        <v>10141</v>
      </c>
      <c r="C281" t="s">
        <v>22</v>
      </c>
      <c r="D281" s="1">
        <v>23871</v>
      </c>
      <c r="E281" t="s">
        <v>47</v>
      </c>
      <c r="F281" t="s">
        <v>24</v>
      </c>
      <c r="G281" t="s">
        <v>25</v>
      </c>
      <c r="H281" t="s">
        <v>26</v>
      </c>
      <c r="I281" s="1">
        <v>40729</v>
      </c>
      <c r="J281" t="s">
        <v>582</v>
      </c>
      <c r="K281" s="1">
        <v>42618</v>
      </c>
      <c r="L281" t="s">
        <v>55</v>
      </c>
      <c r="M281" t="s">
        <v>39</v>
      </c>
      <c r="N281" t="s">
        <v>29</v>
      </c>
      <c r="O281" t="s">
        <v>59</v>
      </c>
      <c r="P281">
        <v>11</v>
      </c>
      <c r="Q281" t="s">
        <v>42</v>
      </c>
      <c r="R281" t="s">
        <v>43</v>
      </c>
      <c r="S281">
        <v>3.98</v>
      </c>
      <c r="T281">
        <v>4</v>
      </c>
      <c r="U281" t="s">
        <v>565</v>
      </c>
      <c r="V281" s="1">
        <v>42431</v>
      </c>
      <c r="W281">
        <v>1</v>
      </c>
      <c r="X281" t="s">
        <v>585</v>
      </c>
    </row>
    <row r="282" spans="1:24" x14ac:dyDescent="0.25">
      <c r="A282" t="s">
        <v>464</v>
      </c>
      <c r="B282">
        <v>10268</v>
      </c>
      <c r="C282" t="s">
        <v>46</v>
      </c>
      <c r="D282" s="1">
        <v>27653</v>
      </c>
      <c r="E282" t="s">
        <v>23</v>
      </c>
      <c r="F282" t="s">
        <v>65</v>
      </c>
      <c r="G282" t="s">
        <v>25</v>
      </c>
      <c r="H282" t="s">
        <v>26</v>
      </c>
      <c r="I282" s="1">
        <v>39258</v>
      </c>
      <c r="J282" t="s">
        <v>580</v>
      </c>
      <c r="K282" s="1">
        <v>40420</v>
      </c>
      <c r="L282" t="s">
        <v>218</v>
      </c>
      <c r="M282" t="s">
        <v>39</v>
      </c>
      <c r="N282" t="s">
        <v>29</v>
      </c>
      <c r="O282" t="s">
        <v>56</v>
      </c>
      <c r="P282">
        <v>39</v>
      </c>
      <c r="Q282" t="s">
        <v>243</v>
      </c>
      <c r="R282" t="s">
        <v>43</v>
      </c>
      <c r="S282">
        <v>4.0999999999999996</v>
      </c>
      <c r="T282">
        <v>4</v>
      </c>
      <c r="U282" t="s">
        <v>565</v>
      </c>
      <c r="V282" s="1">
        <v>40373</v>
      </c>
      <c r="W282">
        <v>15</v>
      </c>
      <c r="X282" t="s">
        <v>582</v>
      </c>
    </row>
    <row r="283" spans="1:24" x14ac:dyDescent="0.25">
      <c r="A283" t="s">
        <v>466</v>
      </c>
      <c r="B283">
        <v>10123</v>
      </c>
      <c r="C283" t="s">
        <v>22</v>
      </c>
      <c r="D283" s="1">
        <v>24628</v>
      </c>
      <c r="E283" t="s">
        <v>47</v>
      </c>
      <c r="F283" t="s">
        <v>54</v>
      </c>
      <c r="G283" t="s">
        <v>25</v>
      </c>
      <c r="H283" t="s">
        <v>70</v>
      </c>
      <c r="I283" s="1">
        <v>41323</v>
      </c>
      <c r="J283" t="s">
        <v>583</v>
      </c>
      <c r="K283" s="1" t="s">
        <v>500</v>
      </c>
      <c r="L283" t="s">
        <v>27</v>
      </c>
      <c r="M283" t="s">
        <v>28</v>
      </c>
      <c r="N283" t="s">
        <v>29</v>
      </c>
      <c r="O283" t="s">
        <v>71</v>
      </c>
      <c r="P283">
        <v>12</v>
      </c>
      <c r="Q283" t="s">
        <v>42</v>
      </c>
      <c r="R283" t="s">
        <v>43</v>
      </c>
      <c r="S283">
        <v>4.21</v>
      </c>
      <c r="T283">
        <v>5</v>
      </c>
      <c r="U283" t="s">
        <v>564</v>
      </c>
      <c r="V283" s="1">
        <v>43479</v>
      </c>
      <c r="W283">
        <v>4</v>
      </c>
      <c r="X283" t="s">
        <v>586</v>
      </c>
    </row>
    <row r="284" spans="1:24" x14ac:dyDescent="0.25">
      <c r="A284" t="s">
        <v>467</v>
      </c>
      <c r="B284">
        <v>10013</v>
      </c>
      <c r="C284" t="s">
        <v>135</v>
      </c>
      <c r="D284" s="1">
        <v>24852</v>
      </c>
      <c r="E284" t="s">
        <v>23</v>
      </c>
      <c r="F284" t="s">
        <v>132</v>
      </c>
      <c r="G284" t="s">
        <v>25</v>
      </c>
      <c r="H284" t="s">
        <v>26</v>
      </c>
      <c r="I284" s="1">
        <v>38726</v>
      </c>
      <c r="J284" t="s">
        <v>580</v>
      </c>
      <c r="K284" s="1" t="s">
        <v>500</v>
      </c>
      <c r="L284" t="s">
        <v>27</v>
      </c>
      <c r="M284" t="s">
        <v>28</v>
      </c>
      <c r="N284" t="s">
        <v>136</v>
      </c>
      <c r="O284" t="s">
        <v>158</v>
      </c>
      <c r="P284">
        <v>21</v>
      </c>
      <c r="Q284" t="s">
        <v>42</v>
      </c>
      <c r="R284" t="s">
        <v>32</v>
      </c>
      <c r="S284">
        <v>4.0999999999999996</v>
      </c>
      <c r="T284">
        <v>3</v>
      </c>
      <c r="U284" t="s">
        <v>566</v>
      </c>
      <c r="V284" s="1">
        <v>43469</v>
      </c>
      <c r="W284">
        <v>6</v>
      </c>
      <c r="X284" t="s">
        <v>586</v>
      </c>
    </row>
    <row r="285" spans="1:24" x14ac:dyDescent="0.25">
      <c r="A285" t="s">
        <v>468</v>
      </c>
      <c r="B285">
        <v>10287</v>
      </c>
      <c r="C285" t="s">
        <v>22</v>
      </c>
      <c r="D285" s="1">
        <v>30452</v>
      </c>
      <c r="E285" t="s">
        <v>47</v>
      </c>
      <c r="F285" t="s">
        <v>24</v>
      </c>
      <c r="G285" t="s">
        <v>25</v>
      </c>
      <c r="H285" t="s">
        <v>26</v>
      </c>
      <c r="I285" s="1">
        <v>41687</v>
      </c>
      <c r="J285" t="s">
        <v>584</v>
      </c>
      <c r="K285" s="1" t="s">
        <v>500</v>
      </c>
      <c r="L285" t="s">
        <v>27</v>
      </c>
      <c r="M285" t="s">
        <v>28</v>
      </c>
      <c r="N285" t="s">
        <v>29</v>
      </c>
      <c r="O285" t="s">
        <v>80</v>
      </c>
      <c r="P285">
        <v>14</v>
      </c>
      <c r="Q285" t="s">
        <v>31</v>
      </c>
      <c r="R285" t="s">
        <v>112</v>
      </c>
      <c r="S285">
        <v>2.44</v>
      </c>
      <c r="T285">
        <v>5</v>
      </c>
      <c r="U285" t="s">
        <v>564</v>
      </c>
      <c r="V285" s="1">
        <v>43507</v>
      </c>
      <c r="W285">
        <v>18</v>
      </c>
      <c r="X285" t="s">
        <v>586</v>
      </c>
    </row>
    <row r="286" spans="1:24" x14ac:dyDescent="0.25">
      <c r="A286" t="s">
        <v>469</v>
      </c>
      <c r="B286">
        <v>10044</v>
      </c>
      <c r="C286" t="s">
        <v>233</v>
      </c>
      <c r="D286" s="1">
        <v>32268</v>
      </c>
      <c r="E286" t="s">
        <v>23</v>
      </c>
      <c r="F286" t="s">
        <v>36</v>
      </c>
      <c r="G286" t="s">
        <v>25</v>
      </c>
      <c r="H286" t="s">
        <v>26</v>
      </c>
      <c r="I286" s="1">
        <v>42009</v>
      </c>
      <c r="J286" t="s">
        <v>584</v>
      </c>
      <c r="K286" s="1">
        <v>42412</v>
      </c>
      <c r="L286" t="s">
        <v>389</v>
      </c>
      <c r="M286" t="s">
        <v>39</v>
      </c>
      <c r="N286" t="s">
        <v>40</v>
      </c>
      <c r="O286" t="s">
        <v>76</v>
      </c>
      <c r="P286">
        <v>7</v>
      </c>
      <c r="Q286" t="s">
        <v>111</v>
      </c>
      <c r="R286" t="s">
        <v>43</v>
      </c>
      <c r="S286">
        <v>5</v>
      </c>
      <c r="T286">
        <v>3</v>
      </c>
      <c r="U286" t="s">
        <v>566</v>
      </c>
      <c r="V286" s="1">
        <v>42109</v>
      </c>
      <c r="W286">
        <v>11</v>
      </c>
      <c r="X286" t="s">
        <v>584</v>
      </c>
    </row>
    <row r="287" spans="1:24" x14ac:dyDescent="0.25">
      <c r="A287" t="s">
        <v>470</v>
      </c>
      <c r="B287">
        <v>10102</v>
      </c>
      <c r="C287" t="s">
        <v>61</v>
      </c>
      <c r="D287" s="1">
        <v>30481</v>
      </c>
      <c r="E287" t="s">
        <v>23</v>
      </c>
      <c r="F287" t="s">
        <v>24</v>
      </c>
      <c r="G287" t="s">
        <v>163</v>
      </c>
      <c r="H287" t="s">
        <v>70</v>
      </c>
      <c r="I287" s="1">
        <v>41323</v>
      </c>
      <c r="J287" t="s">
        <v>583</v>
      </c>
      <c r="K287" s="1">
        <v>43205</v>
      </c>
      <c r="L287" t="s">
        <v>389</v>
      </c>
      <c r="M287" t="s">
        <v>39</v>
      </c>
      <c r="N287" t="s">
        <v>62</v>
      </c>
      <c r="O287" t="s">
        <v>63</v>
      </c>
      <c r="P287">
        <v>10</v>
      </c>
      <c r="Q287" t="s">
        <v>72</v>
      </c>
      <c r="R287" t="s">
        <v>43</v>
      </c>
      <c r="S287">
        <v>4.5999999999999996</v>
      </c>
      <c r="T287">
        <v>3</v>
      </c>
      <c r="U287" t="s">
        <v>566</v>
      </c>
      <c r="V287" s="1">
        <v>42778</v>
      </c>
      <c r="W287">
        <v>9</v>
      </c>
      <c r="X287" t="s">
        <v>585</v>
      </c>
    </row>
    <row r="288" spans="1:24" x14ac:dyDescent="0.25">
      <c r="A288" t="s">
        <v>471</v>
      </c>
      <c r="B288">
        <v>10270</v>
      </c>
      <c r="C288" t="s">
        <v>46</v>
      </c>
      <c r="D288" s="1">
        <v>31121</v>
      </c>
      <c r="E288" t="s">
        <v>47</v>
      </c>
      <c r="F288" t="s">
        <v>24</v>
      </c>
      <c r="G288" t="s">
        <v>25</v>
      </c>
      <c r="H288" t="s">
        <v>26</v>
      </c>
      <c r="I288" s="1">
        <v>40553</v>
      </c>
      <c r="J288" t="s">
        <v>582</v>
      </c>
      <c r="K288" s="1">
        <v>41822</v>
      </c>
      <c r="L288" t="s">
        <v>83</v>
      </c>
      <c r="M288" t="s">
        <v>39</v>
      </c>
      <c r="N288" t="s">
        <v>29</v>
      </c>
      <c r="O288" t="s">
        <v>59</v>
      </c>
      <c r="P288">
        <v>11</v>
      </c>
      <c r="Q288" t="s">
        <v>31</v>
      </c>
      <c r="R288" t="s">
        <v>43</v>
      </c>
      <c r="S288">
        <v>4.4000000000000004</v>
      </c>
      <c r="T288">
        <v>3</v>
      </c>
      <c r="U288" t="s">
        <v>566</v>
      </c>
      <c r="V288" s="1">
        <v>41644</v>
      </c>
      <c r="W288">
        <v>5</v>
      </c>
      <c r="X288" t="s">
        <v>584</v>
      </c>
    </row>
    <row r="289" spans="1:24" x14ac:dyDescent="0.25">
      <c r="A289" t="s">
        <v>472</v>
      </c>
      <c r="B289">
        <v>10045</v>
      </c>
      <c r="C289" t="s">
        <v>233</v>
      </c>
      <c r="D289" s="1">
        <v>25293</v>
      </c>
      <c r="E289" t="s">
        <v>23</v>
      </c>
      <c r="F289" t="s">
        <v>36</v>
      </c>
      <c r="G289" t="s">
        <v>99</v>
      </c>
      <c r="H289" t="s">
        <v>26</v>
      </c>
      <c r="I289" s="1">
        <v>42093</v>
      </c>
      <c r="J289" t="s">
        <v>584</v>
      </c>
      <c r="K289" s="1" t="s">
        <v>500</v>
      </c>
      <c r="L289" t="s">
        <v>27</v>
      </c>
      <c r="M289" t="s">
        <v>28</v>
      </c>
      <c r="N289" t="s">
        <v>40</v>
      </c>
      <c r="O289" t="s">
        <v>76</v>
      </c>
      <c r="P289">
        <v>7</v>
      </c>
      <c r="Q289" t="s">
        <v>67</v>
      </c>
      <c r="R289" t="s">
        <v>43</v>
      </c>
      <c r="S289">
        <v>5</v>
      </c>
      <c r="T289">
        <v>4</v>
      </c>
      <c r="U289" t="s">
        <v>565</v>
      </c>
      <c r="V289" s="1">
        <v>43479</v>
      </c>
      <c r="W289">
        <v>8</v>
      </c>
      <c r="X289" t="s">
        <v>586</v>
      </c>
    </row>
    <row r="290" spans="1:24" x14ac:dyDescent="0.25">
      <c r="A290" t="s">
        <v>473</v>
      </c>
      <c r="B290">
        <v>10205</v>
      </c>
      <c r="C290" t="s">
        <v>135</v>
      </c>
      <c r="D290" s="1">
        <v>33381</v>
      </c>
      <c r="E290" t="s">
        <v>47</v>
      </c>
      <c r="F290" t="s">
        <v>36</v>
      </c>
      <c r="G290" t="s">
        <v>25</v>
      </c>
      <c r="H290" t="s">
        <v>87</v>
      </c>
      <c r="I290" s="1">
        <v>40729</v>
      </c>
      <c r="J290" t="s">
        <v>582</v>
      </c>
      <c r="K290" s="1" t="s">
        <v>500</v>
      </c>
      <c r="L290" t="s">
        <v>27</v>
      </c>
      <c r="M290" t="s">
        <v>28</v>
      </c>
      <c r="N290" t="s">
        <v>136</v>
      </c>
      <c r="O290" t="s">
        <v>137</v>
      </c>
      <c r="P290">
        <v>17</v>
      </c>
      <c r="Q290" t="s">
        <v>42</v>
      </c>
      <c r="R290" t="s">
        <v>43</v>
      </c>
      <c r="S290">
        <v>2.81</v>
      </c>
      <c r="T290">
        <v>3</v>
      </c>
      <c r="U290" t="s">
        <v>566</v>
      </c>
      <c r="V290" s="1">
        <v>43482</v>
      </c>
      <c r="W290">
        <v>16</v>
      </c>
      <c r="X290" t="s">
        <v>586</v>
      </c>
    </row>
    <row r="291" spans="1:24" x14ac:dyDescent="0.25">
      <c r="A291" t="s">
        <v>474</v>
      </c>
      <c r="B291">
        <v>10014</v>
      </c>
      <c r="C291" t="s">
        <v>22</v>
      </c>
      <c r="D291" s="1">
        <v>31808</v>
      </c>
      <c r="E291" t="s">
        <v>23</v>
      </c>
      <c r="F291" t="s">
        <v>54</v>
      </c>
      <c r="G291" t="s">
        <v>25</v>
      </c>
      <c r="H291" t="s">
        <v>26</v>
      </c>
      <c r="I291" s="1">
        <v>41134</v>
      </c>
      <c r="J291" t="s">
        <v>583</v>
      </c>
      <c r="K291" s="1">
        <v>42405</v>
      </c>
      <c r="L291" t="s">
        <v>306</v>
      </c>
      <c r="M291" t="s">
        <v>39</v>
      </c>
      <c r="N291" t="s">
        <v>29</v>
      </c>
      <c r="O291" t="s">
        <v>49</v>
      </c>
      <c r="P291">
        <v>20</v>
      </c>
      <c r="Q291" t="s">
        <v>31</v>
      </c>
      <c r="R291" t="s">
        <v>32</v>
      </c>
      <c r="S291">
        <v>4.5</v>
      </c>
      <c r="T291">
        <v>5</v>
      </c>
      <c r="U291" t="s">
        <v>564</v>
      </c>
      <c r="V291" s="1">
        <v>42401</v>
      </c>
      <c r="W291">
        <v>15</v>
      </c>
      <c r="X291" t="s">
        <v>585</v>
      </c>
    </row>
    <row r="292" spans="1:24" x14ac:dyDescent="0.25">
      <c r="A292" t="s">
        <v>475</v>
      </c>
      <c r="B292">
        <v>10144</v>
      </c>
      <c r="C292" t="s">
        <v>122</v>
      </c>
      <c r="D292" s="1">
        <v>25121</v>
      </c>
      <c r="E292" t="s">
        <v>23</v>
      </c>
      <c r="F292" t="s">
        <v>54</v>
      </c>
      <c r="G292" t="s">
        <v>25</v>
      </c>
      <c r="H292" t="s">
        <v>26</v>
      </c>
      <c r="I292" s="1">
        <v>40756</v>
      </c>
      <c r="J292" t="s">
        <v>582</v>
      </c>
      <c r="K292" s="1" t="s">
        <v>500</v>
      </c>
      <c r="L292" t="s">
        <v>27</v>
      </c>
      <c r="M292" t="s">
        <v>28</v>
      </c>
      <c r="N292" t="s">
        <v>29</v>
      </c>
      <c r="O292" t="s">
        <v>124</v>
      </c>
      <c r="P292">
        <v>2</v>
      </c>
      <c r="Q292" t="s">
        <v>67</v>
      </c>
      <c r="R292" t="s">
        <v>43</v>
      </c>
      <c r="S292">
        <v>3.93</v>
      </c>
      <c r="T292">
        <v>3</v>
      </c>
      <c r="U292" t="s">
        <v>566</v>
      </c>
      <c r="V292" s="1">
        <v>43523</v>
      </c>
      <c r="W292">
        <v>19</v>
      </c>
      <c r="X292" t="s">
        <v>586</v>
      </c>
    </row>
    <row r="293" spans="1:24" x14ac:dyDescent="0.25">
      <c r="A293" t="s">
        <v>476</v>
      </c>
      <c r="B293">
        <v>10253</v>
      </c>
      <c r="C293" t="s">
        <v>135</v>
      </c>
      <c r="D293" s="1">
        <v>32700</v>
      </c>
      <c r="E293" t="s">
        <v>23</v>
      </c>
      <c r="F293" t="s">
        <v>24</v>
      </c>
      <c r="G293" t="s">
        <v>25</v>
      </c>
      <c r="H293" t="s">
        <v>105</v>
      </c>
      <c r="I293" s="1">
        <v>40973</v>
      </c>
      <c r="J293" t="s">
        <v>583</v>
      </c>
      <c r="K293" s="1" t="s">
        <v>500</v>
      </c>
      <c r="L293" t="s">
        <v>27</v>
      </c>
      <c r="M293" t="s">
        <v>28</v>
      </c>
      <c r="N293" t="s">
        <v>136</v>
      </c>
      <c r="O293" t="s">
        <v>137</v>
      </c>
      <c r="P293">
        <v>17</v>
      </c>
      <c r="Q293" t="s">
        <v>205</v>
      </c>
      <c r="R293" t="s">
        <v>43</v>
      </c>
      <c r="S293">
        <v>4.5</v>
      </c>
      <c r="T293">
        <v>4</v>
      </c>
      <c r="U293" t="s">
        <v>565</v>
      </c>
      <c r="V293" s="1">
        <v>43483</v>
      </c>
      <c r="W293">
        <v>11</v>
      </c>
      <c r="X293" t="s">
        <v>586</v>
      </c>
    </row>
    <row r="294" spans="1:24" x14ac:dyDescent="0.25">
      <c r="A294" t="s">
        <v>477</v>
      </c>
      <c r="B294">
        <v>10118</v>
      </c>
      <c r="C294" t="s">
        <v>101</v>
      </c>
      <c r="D294" s="1">
        <v>31631</v>
      </c>
      <c r="E294" t="s">
        <v>23</v>
      </c>
      <c r="F294" t="s">
        <v>36</v>
      </c>
      <c r="G294" t="s">
        <v>25</v>
      </c>
      <c r="H294" t="s">
        <v>70</v>
      </c>
      <c r="I294" s="1">
        <v>42051</v>
      </c>
      <c r="J294" t="s">
        <v>584</v>
      </c>
      <c r="K294" s="1">
        <v>42788</v>
      </c>
      <c r="L294" t="s">
        <v>225</v>
      </c>
      <c r="M294" t="s">
        <v>95</v>
      </c>
      <c r="N294" t="s">
        <v>40</v>
      </c>
      <c r="O294" t="s">
        <v>41</v>
      </c>
      <c r="P294">
        <v>4</v>
      </c>
      <c r="Q294" t="s">
        <v>67</v>
      </c>
      <c r="R294" t="s">
        <v>43</v>
      </c>
      <c r="S294">
        <v>4.33</v>
      </c>
      <c r="T294">
        <v>3</v>
      </c>
      <c r="U294" t="s">
        <v>566</v>
      </c>
      <c r="V294" s="1">
        <v>42781</v>
      </c>
      <c r="W294">
        <v>9</v>
      </c>
      <c r="X294" t="s">
        <v>585</v>
      </c>
    </row>
    <row r="295" spans="1:24" x14ac:dyDescent="0.25">
      <c r="A295" t="s">
        <v>478</v>
      </c>
      <c r="B295">
        <v>10022</v>
      </c>
      <c r="C295" t="s">
        <v>22</v>
      </c>
      <c r="D295" s="1">
        <v>31566</v>
      </c>
      <c r="E295" t="s">
        <v>47</v>
      </c>
      <c r="F295" t="s">
        <v>36</v>
      </c>
      <c r="G295" t="s">
        <v>25</v>
      </c>
      <c r="H295" t="s">
        <v>26</v>
      </c>
      <c r="I295" s="1">
        <v>40812</v>
      </c>
      <c r="J295" t="s">
        <v>582</v>
      </c>
      <c r="K295" s="1">
        <v>42408</v>
      </c>
      <c r="L295" t="s">
        <v>479</v>
      </c>
      <c r="M295" t="s">
        <v>95</v>
      </c>
      <c r="N295" t="s">
        <v>29</v>
      </c>
      <c r="O295" t="s">
        <v>89</v>
      </c>
      <c r="P295">
        <v>18</v>
      </c>
      <c r="Q295" t="s">
        <v>57</v>
      </c>
      <c r="R295" t="s">
        <v>32</v>
      </c>
      <c r="S295">
        <v>4.3</v>
      </c>
      <c r="T295">
        <v>5</v>
      </c>
      <c r="U295" t="s">
        <v>564</v>
      </c>
      <c r="V295" s="1">
        <v>42036</v>
      </c>
      <c r="W295">
        <v>18</v>
      </c>
      <c r="X295" t="s">
        <v>584</v>
      </c>
    </row>
    <row r="296" spans="1:24" x14ac:dyDescent="0.25">
      <c r="A296" t="s">
        <v>480</v>
      </c>
      <c r="B296">
        <v>10183</v>
      </c>
      <c r="C296" t="s">
        <v>22</v>
      </c>
      <c r="D296" s="1">
        <v>31143</v>
      </c>
      <c r="E296" t="s">
        <v>47</v>
      </c>
      <c r="F296" t="s">
        <v>24</v>
      </c>
      <c r="G296" t="s">
        <v>25</v>
      </c>
      <c r="H296" t="s">
        <v>26</v>
      </c>
      <c r="I296" s="1">
        <v>42190</v>
      </c>
      <c r="J296" t="s">
        <v>584</v>
      </c>
      <c r="K296" s="1" t="s">
        <v>500</v>
      </c>
      <c r="L296" t="s">
        <v>27</v>
      </c>
      <c r="M296" t="s">
        <v>28</v>
      </c>
      <c r="N296" t="s">
        <v>29</v>
      </c>
      <c r="O296" t="s">
        <v>30</v>
      </c>
      <c r="P296">
        <v>22</v>
      </c>
      <c r="Q296" t="s">
        <v>31</v>
      </c>
      <c r="R296" t="s">
        <v>43</v>
      </c>
      <c r="S296">
        <v>3.21</v>
      </c>
      <c r="T296">
        <v>3</v>
      </c>
      <c r="U296" t="s">
        <v>566</v>
      </c>
      <c r="V296" s="1">
        <v>43494</v>
      </c>
      <c r="W296">
        <v>7</v>
      </c>
      <c r="X296" t="s">
        <v>586</v>
      </c>
    </row>
    <row r="297" spans="1:24" x14ac:dyDescent="0.25">
      <c r="A297" t="s">
        <v>481</v>
      </c>
      <c r="B297">
        <v>10190</v>
      </c>
      <c r="C297" t="s">
        <v>46</v>
      </c>
      <c r="D297" s="1">
        <v>27800</v>
      </c>
      <c r="E297" t="s">
        <v>23</v>
      </c>
      <c r="F297" t="s">
        <v>24</v>
      </c>
      <c r="G297" t="s">
        <v>25</v>
      </c>
      <c r="H297" t="s">
        <v>70</v>
      </c>
      <c r="I297" s="1">
        <v>41869</v>
      </c>
      <c r="J297" t="s">
        <v>584</v>
      </c>
      <c r="K297" s="1" t="s">
        <v>500</v>
      </c>
      <c r="L297" t="s">
        <v>27</v>
      </c>
      <c r="M297" t="s">
        <v>28</v>
      </c>
      <c r="N297" t="s">
        <v>29</v>
      </c>
      <c r="O297" t="s">
        <v>66</v>
      </c>
      <c r="P297">
        <v>19</v>
      </c>
      <c r="Q297" t="s">
        <v>67</v>
      </c>
      <c r="R297" t="s">
        <v>43</v>
      </c>
      <c r="S297">
        <v>3.11</v>
      </c>
      <c r="T297">
        <v>5</v>
      </c>
      <c r="U297" t="s">
        <v>564</v>
      </c>
      <c r="V297" s="1">
        <v>43508</v>
      </c>
      <c r="W297">
        <v>4</v>
      </c>
      <c r="X297" t="s">
        <v>586</v>
      </c>
    </row>
    <row r="298" spans="1:24" x14ac:dyDescent="0.25">
      <c r="A298" t="s">
        <v>482</v>
      </c>
      <c r="B298">
        <v>10274</v>
      </c>
      <c r="C298" t="s">
        <v>122</v>
      </c>
      <c r="D298" s="1">
        <v>20103</v>
      </c>
      <c r="E298" t="s">
        <v>47</v>
      </c>
      <c r="F298" t="s">
        <v>36</v>
      </c>
      <c r="G298" t="s">
        <v>25</v>
      </c>
      <c r="H298" t="s">
        <v>70</v>
      </c>
      <c r="I298" s="1">
        <v>40812</v>
      </c>
      <c r="J298" t="s">
        <v>582</v>
      </c>
      <c r="K298" s="1">
        <v>40910</v>
      </c>
      <c r="L298" t="s">
        <v>79</v>
      </c>
      <c r="M298" t="s">
        <v>39</v>
      </c>
      <c r="N298" t="s">
        <v>29</v>
      </c>
      <c r="O298" t="s">
        <v>124</v>
      </c>
      <c r="P298">
        <v>2</v>
      </c>
      <c r="Q298" t="s">
        <v>72</v>
      </c>
      <c r="R298" t="s">
        <v>43</v>
      </c>
      <c r="S298">
        <v>4.5</v>
      </c>
      <c r="T298">
        <v>3</v>
      </c>
      <c r="U298" t="s">
        <v>566</v>
      </c>
      <c r="V298" s="1">
        <v>40910</v>
      </c>
      <c r="W298">
        <v>5</v>
      </c>
      <c r="X298" t="s">
        <v>583</v>
      </c>
    </row>
    <row r="299" spans="1:24" x14ac:dyDescent="0.25">
      <c r="A299" t="s">
        <v>483</v>
      </c>
      <c r="B299">
        <v>10293</v>
      </c>
      <c r="C299" t="s">
        <v>22</v>
      </c>
      <c r="D299" s="1">
        <v>29435</v>
      </c>
      <c r="E299" t="s">
        <v>47</v>
      </c>
      <c r="F299" t="s">
        <v>24</v>
      </c>
      <c r="G299" t="s">
        <v>25</v>
      </c>
      <c r="H299" t="s">
        <v>26</v>
      </c>
      <c r="I299" s="1">
        <v>41134</v>
      </c>
      <c r="J299" t="s">
        <v>583</v>
      </c>
      <c r="K299" s="1">
        <v>42248</v>
      </c>
      <c r="L299" t="s">
        <v>38</v>
      </c>
      <c r="M299" t="s">
        <v>39</v>
      </c>
      <c r="N299" t="s">
        <v>29</v>
      </c>
      <c r="O299" t="s">
        <v>52</v>
      </c>
      <c r="P299">
        <v>16</v>
      </c>
      <c r="Q299" t="s">
        <v>111</v>
      </c>
      <c r="R299" t="s">
        <v>112</v>
      </c>
      <c r="S299">
        <v>2.5</v>
      </c>
      <c r="T299">
        <v>3</v>
      </c>
      <c r="U299" t="s">
        <v>566</v>
      </c>
      <c r="V299" s="1">
        <v>41887</v>
      </c>
      <c r="W299">
        <v>13</v>
      </c>
      <c r="X299" t="s">
        <v>584</v>
      </c>
    </row>
    <row r="300" spans="1:24" x14ac:dyDescent="0.25">
      <c r="A300" t="s">
        <v>484</v>
      </c>
      <c r="B300">
        <v>10172</v>
      </c>
      <c r="C300" t="s">
        <v>327</v>
      </c>
      <c r="D300" s="1">
        <v>29775</v>
      </c>
      <c r="E300" t="s">
        <v>23</v>
      </c>
      <c r="F300" t="s">
        <v>24</v>
      </c>
      <c r="G300" t="s">
        <v>25</v>
      </c>
      <c r="H300" t="s">
        <v>105</v>
      </c>
      <c r="I300" s="1">
        <v>42781</v>
      </c>
      <c r="J300" t="s">
        <v>585</v>
      </c>
      <c r="K300" s="1" t="s">
        <v>500</v>
      </c>
      <c r="L300" t="s">
        <v>27</v>
      </c>
      <c r="M300" t="s">
        <v>28</v>
      </c>
      <c r="N300" t="s">
        <v>40</v>
      </c>
      <c r="O300" t="s">
        <v>201</v>
      </c>
      <c r="P300">
        <v>13</v>
      </c>
      <c r="Q300" t="s">
        <v>42</v>
      </c>
      <c r="R300" t="s">
        <v>43</v>
      </c>
      <c r="S300">
        <v>3.42</v>
      </c>
      <c r="T300">
        <v>4</v>
      </c>
      <c r="U300" t="s">
        <v>565</v>
      </c>
      <c r="V300" s="1">
        <v>43469</v>
      </c>
      <c r="W300">
        <v>17</v>
      </c>
      <c r="X300" t="s">
        <v>586</v>
      </c>
    </row>
    <row r="301" spans="1:24" x14ac:dyDescent="0.25">
      <c r="A301" t="s">
        <v>485</v>
      </c>
      <c r="B301">
        <v>10127</v>
      </c>
      <c r="C301" t="s">
        <v>181</v>
      </c>
      <c r="D301" s="1">
        <v>28612</v>
      </c>
      <c r="E301" t="s">
        <v>47</v>
      </c>
      <c r="F301" t="s">
        <v>65</v>
      </c>
      <c r="G301" t="s">
        <v>25</v>
      </c>
      <c r="H301" t="s">
        <v>105</v>
      </c>
      <c r="I301" s="1">
        <v>42093</v>
      </c>
      <c r="J301" t="s">
        <v>584</v>
      </c>
      <c r="K301" s="1" t="s">
        <v>500</v>
      </c>
      <c r="L301" t="s">
        <v>27</v>
      </c>
      <c r="M301" t="s">
        <v>28</v>
      </c>
      <c r="N301" t="s">
        <v>40</v>
      </c>
      <c r="O301" t="s">
        <v>76</v>
      </c>
      <c r="P301">
        <v>7</v>
      </c>
      <c r="Q301" t="s">
        <v>67</v>
      </c>
      <c r="R301" t="s">
        <v>43</v>
      </c>
      <c r="S301">
        <v>4.2</v>
      </c>
      <c r="T301">
        <v>4</v>
      </c>
      <c r="U301" t="s">
        <v>565</v>
      </c>
      <c r="V301" s="1">
        <v>43501</v>
      </c>
      <c r="W301">
        <v>7</v>
      </c>
      <c r="X301" t="s">
        <v>586</v>
      </c>
    </row>
    <row r="302" spans="1:24" x14ac:dyDescent="0.25">
      <c r="A302" t="s">
        <v>486</v>
      </c>
      <c r="B302">
        <v>10072</v>
      </c>
      <c r="C302" t="s">
        <v>22</v>
      </c>
      <c r="D302" s="1">
        <v>31921</v>
      </c>
      <c r="E302" t="s">
        <v>23</v>
      </c>
      <c r="F302" t="s">
        <v>24</v>
      </c>
      <c r="G302" t="s">
        <v>25</v>
      </c>
      <c r="H302" t="s">
        <v>26</v>
      </c>
      <c r="I302" s="1">
        <v>40553</v>
      </c>
      <c r="J302" t="s">
        <v>582</v>
      </c>
      <c r="K302" s="1">
        <v>41774</v>
      </c>
      <c r="L302" t="s">
        <v>48</v>
      </c>
      <c r="M302" t="s">
        <v>39</v>
      </c>
      <c r="N302" t="s">
        <v>29</v>
      </c>
      <c r="O302" t="s">
        <v>56</v>
      </c>
      <c r="P302">
        <v>39</v>
      </c>
      <c r="Q302" t="s">
        <v>31</v>
      </c>
      <c r="R302" t="s">
        <v>43</v>
      </c>
      <c r="S302">
        <v>5</v>
      </c>
      <c r="T302">
        <v>5</v>
      </c>
      <c r="U302" t="s">
        <v>564</v>
      </c>
      <c r="V302" s="1">
        <v>41774</v>
      </c>
      <c r="W302">
        <v>11</v>
      </c>
      <c r="X302" t="s">
        <v>584</v>
      </c>
    </row>
    <row r="303" spans="1:24" x14ac:dyDescent="0.25">
      <c r="A303" t="s">
        <v>488</v>
      </c>
      <c r="B303">
        <v>10048</v>
      </c>
      <c r="C303" t="s">
        <v>22</v>
      </c>
      <c r="D303" s="1">
        <v>23994</v>
      </c>
      <c r="E303" t="s">
        <v>23</v>
      </c>
      <c r="F303" t="s">
        <v>36</v>
      </c>
      <c r="G303" t="s">
        <v>99</v>
      </c>
      <c r="H303" t="s">
        <v>26</v>
      </c>
      <c r="I303" s="1">
        <v>40679</v>
      </c>
      <c r="J303" t="s">
        <v>582</v>
      </c>
      <c r="K303" s="1">
        <v>42254</v>
      </c>
      <c r="L303" t="s">
        <v>83</v>
      </c>
      <c r="M303" t="s">
        <v>39</v>
      </c>
      <c r="N303" t="s">
        <v>29</v>
      </c>
      <c r="O303" t="s">
        <v>59</v>
      </c>
      <c r="P303">
        <v>11</v>
      </c>
      <c r="Q303" t="s">
        <v>205</v>
      </c>
      <c r="R303" t="s">
        <v>43</v>
      </c>
      <c r="S303">
        <v>5</v>
      </c>
      <c r="T303">
        <v>3</v>
      </c>
      <c r="U303" t="s">
        <v>566</v>
      </c>
      <c r="V303" s="1">
        <v>42050</v>
      </c>
      <c r="W303">
        <v>7</v>
      </c>
      <c r="X303" t="s">
        <v>584</v>
      </c>
    </row>
    <row r="304" spans="1:24" x14ac:dyDescent="0.25">
      <c r="A304" t="s">
        <v>489</v>
      </c>
      <c r="B304">
        <v>10204</v>
      </c>
      <c r="C304" t="s">
        <v>22</v>
      </c>
      <c r="D304" s="1">
        <v>30527</v>
      </c>
      <c r="E304" t="s">
        <v>47</v>
      </c>
      <c r="F304" t="s">
        <v>54</v>
      </c>
      <c r="G304" t="s">
        <v>25</v>
      </c>
      <c r="H304" t="s">
        <v>26</v>
      </c>
      <c r="I304" s="1">
        <v>40553</v>
      </c>
      <c r="J304" t="s">
        <v>582</v>
      </c>
      <c r="K304" s="1">
        <v>41043</v>
      </c>
      <c r="L304" t="s">
        <v>79</v>
      </c>
      <c r="M304" t="s">
        <v>39</v>
      </c>
      <c r="N304" t="s">
        <v>29</v>
      </c>
      <c r="O304" t="s">
        <v>66</v>
      </c>
      <c r="P304">
        <v>19</v>
      </c>
      <c r="Q304" t="s">
        <v>57</v>
      </c>
      <c r="R304" t="s">
        <v>43</v>
      </c>
      <c r="S304">
        <v>3.6</v>
      </c>
      <c r="T304">
        <v>5</v>
      </c>
      <c r="U304" t="s">
        <v>564</v>
      </c>
      <c r="V304" s="1">
        <v>40580</v>
      </c>
      <c r="W304">
        <v>9</v>
      </c>
      <c r="X304" t="s">
        <v>582</v>
      </c>
    </row>
    <row r="305" spans="1:24" x14ac:dyDescent="0.25">
      <c r="A305" t="s">
        <v>490</v>
      </c>
      <c r="B305">
        <v>10264</v>
      </c>
      <c r="C305" t="s">
        <v>22</v>
      </c>
      <c r="D305" s="1">
        <v>25478</v>
      </c>
      <c r="E305" t="s">
        <v>47</v>
      </c>
      <c r="F305" t="s">
        <v>24</v>
      </c>
      <c r="G305" t="s">
        <v>25</v>
      </c>
      <c r="H305" t="s">
        <v>70</v>
      </c>
      <c r="I305" s="1">
        <v>40917</v>
      </c>
      <c r="J305" t="s">
        <v>583</v>
      </c>
      <c r="K305" s="1">
        <v>42182</v>
      </c>
      <c r="L305" t="s">
        <v>161</v>
      </c>
      <c r="M305" t="s">
        <v>39</v>
      </c>
      <c r="N305" t="s">
        <v>29</v>
      </c>
      <c r="O305" t="s">
        <v>66</v>
      </c>
      <c r="P305">
        <v>19</v>
      </c>
      <c r="Q305" t="s">
        <v>72</v>
      </c>
      <c r="R305" t="s">
        <v>43</v>
      </c>
      <c r="S305">
        <v>4.3</v>
      </c>
      <c r="T305">
        <v>4</v>
      </c>
      <c r="U305" t="s">
        <v>565</v>
      </c>
      <c r="V305" s="1">
        <v>41792</v>
      </c>
      <c r="W305">
        <v>16</v>
      </c>
      <c r="X305" t="s">
        <v>584</v>
      </c>
    </row>
    <row r="306" spans="1:24" x14ac:dyDescent="0.25">
      <c r="A306" t="s">
        <v>491</v>
      </c>
      <c r="B306">
        <v>10033</v>
      </c>
      <c r="C306" t="s">
        <v>46</v>
      </c>
      <c r="D306" s="1">
        <v>21192</v>
      </c>
      <c r="E306" t="s">
        <v>23</v>
      </c>
      <c r="F306" t="s">
        <v>24</v>
      </c>
      <c r="G306" t="s">
        <v>25</v>
      </c>
      <c r="H306" t="s">
        <v>26</v>
      </c>
      <c r="I306" s="1">
        <v>41281</v>
      </c>
      <c r="J306" t="s">
        <v>583</v>
      </c>
      <c r="K306" s="1">
        <v>42421</v>
      </c>
      <c r="L306" t="s">
        <v>123</v>
      </c>
      <c r="M306" t="s">
        <v>39</v>
      </c>
      <c r="N306" t="s">
        <v>29</v>
      </c>
      <c r="O306" t="s">
        <v>71</v>
      </c>
      <c r="P306">
        <v>12</v>
      </c>
      <c r="Q306" t="s">
        <v>31</v>
      </c>
      <c r="R306" t="s">
        <v>32</v>
      </c>
      <c r="S306">
        <v>5</v>
      </c>
      <c r="T306">
        <v>3</v>
      </c>
      <c r="U306" t="s">
        <v>566</v>
      </c>
      <c r="V306" s="1">
        <v>42388</v>
      </c>
      <c r="W306">
        <v>7</v>
      </c>
      <c r="X306" t="s">
        <v>585</v>
      </c>
    </row>
    <row r="307" spans="1:24" x14ac:dyDescent="0.25">
      <c r="A307" t="s">
        <v>493</v>
      </c>
      <c r="B307">
        <v>10174</v>
      </c>
      <c r="C307" t="s">
        <v>46</v>
      </c>
      <c r="D307" s="1">
        <v>31157</v>
      </c>
      <c r="E307" t="s">
        <v>47</v>
      </c>
      <c r="F307" t="s">
        <v>24</v>
      </c>
      <c r="G307" t="s">
        <v>25</v>
      </c>
      <c r="H307" t="s">
        <v>26</v>
      </c>
      <c r="I307" s="1">
        <v>41911</v>
      </c>
      <c r="J307" t="s">
        <v>584</v>
      </c>
      <c r="K307" s="1" t="s">
        <v>500</v>
      </c>
      <c r="L307" t="s">
        <v>27</v>
      </c>
      <c r="M307" t="s">
        <v>28</v>
      </c>
      <c r="N307" t="s">
        <v>29</v>
      </c>
      <c r="O307" t="s">
        <v>80</v>
      </c>
      <c r="P307">
        <v>14</v>
      </c>
      <c r="Q307" t="s">
        <v>31</v>
      </c>
      <c r="R307" t="s">
        <v>43</v>
      </c>
      <c r="S307">
        <v>3.4</v>
      </c>
      <c r="T307">
        <v>4</v>
      </c>
      <c r="U307" t="s">
        <v>565</v>
      </c>
      <c r="V307" s="1">
        <v>43517</v>
      </c>
      <c r="W307">
        <v>14</v>
      </c>
      <c r="X307" t="s">
        <v>586</v>
      </c>
    </row>
    <row r="308" spans="1:24" x14ac:dyDescent="0.25">
      <c r="A308" t="s">
        <v>494</v>
      </c>
      <c r="B308">
        <v>10135</v>
      </c>
      <c r="C308" t="s">
        <v>46</v>
      </c>
      <c r="D308" s="1">
        <v>31178</v>
      </c>
      <c r="E308" t="s">
        <v>23</v>
      </c>
      <c r="F308" t="s">
        <v>24</v>
      </c>
      <c r="G308" t="s">
        <v>25</v>
      </c>
      <c r="H308" t="s">
        <v>26</v>
      </c>
      <c r="I308" s="1">
        <v>41827</v>
      </c>
      <c r="J308" t="s">
        <v>584</v>
      </c>
      <c r="K308" s="1" t="s">
        <v>500</v>
      </c>
      <c r="L308" t="s">
        <v>27</v>
      </c>
      <c r="M308" t="s">
        <v>28</v>
      </c>
      <c r="N308" t="s">
        <v>29</v>
      </c>
      <c r="O308" t="s">
        <v>49</v>
      </c>
      <c r="P308">
        <v>20</v>
      </c>
      <c r="Q308" t="s">
        <v>31</v>
      </c>
      <c r="R308" t="s">
        <v>43</v>
      </c>
      <c r="S308">
        <v>4.07</v>
      </c>
      <c r="T308">
        <v>4</v>
      </c>
      <c r="U308" t="s">
        <v>565</v>
      </c>
      <c r="V308" s="1">
        <v>43524</v>
      </c>
      <c r="W308">
        <v>13</v>
      </c>
      <c r="X308" t="s">
        <v>586</v>
      </c>
    </row>
    <row r="309" spans="1:24" x14ac:dyDescent="0.25">
      <c r="A309" t="s">
        <v>495</v>
      </c>
      <c r="B309">
        <v>10301</v>
      </c>
      <c r="C309" t="s">
        <v>22</v>
      </c>
      <c r="D309" s="1">
        <v>30075</v>
      </c>
      <c r="E309" t="s">
        <v>47</v>
      </c>
      <c r="F309" t="s">
        <v>24</v>
      </c>
      <c r="G309" t="s">
        <v>25</v>
      </c>
      <c r="H309" t="s">
        <v>105</v>
      </c>
      <c r="I309" s="1">
        <v>39693</v>
      </c>
      <c r="J309" t="s">
        <v>581</v>
      </c>
      <c r="K309" s="1">
        <v>42276</v>
      </c>
      <c r="L309" t="s">
        <v>79</v>
      </c>
      <c r="M309" t="s">
        <v>39</v>
      </c>
      <c r="N309" t="s">
        <v>29</v>
      </c>
      <c r="O309" t="s">
        <v>71</v>
      </c>
      <c r="P309">
        <v>12</v>
      </c>
      <c r="Q309" t="s">
        <v>57</v>
      </c>
      <c r="R309" t="s">
        <v>194</v>
      </c>
      <c r="S309">
        <v>3.2</v>
      </c>
      <c r="T309">
        <v>2</v>
      </c>
      <c r="U309" t="s">
        <v>568</v>
      </c>
      <c r="V309" s="1">
        <v>42249</v>
      </c>
      <c r="W309">
        <v>4</v>
      </c>
      <c r="X309" t="s">
        <v>584</v>
      </c>
    </row>
    <row r="310" spans="1:24" x14ac:dyDescent="0.25">
      <c r="A310" t="s">
        <v>496</v>
      </c>
      <c r="B310">
        <v>10010</v>
      </c>
      <c r="C310" t="s">
        <v>497</v>
      </c>
      <c r="D310" s="1">
        <v>29097</v>
      </c>
      <c r="E310" t="s">
        <v>47</v>
      </c>
      <c r="F310" t="s">
        <v>24</v>
      </c>
      <c r="G310" t="s">
        <v>25</v>
      </c>
      <c r="H310" t="s">
        <v>26</v>
      </c>
      <c r="I310" s="1">
        <v>40278</v>
      </c>
      <c r="J310" t="s">
        <v>582</v>
      </c>
      <c r="K310" s="1" t="s">
        <v>500</v>
      </c>
      <c r="L310" t="s">
        <v>27</v>
      </c>
      <c r="M310" t="s">
        <v>28</v>
      </c>
      <c r="N310" t="s">
        <v>40</v>
      </c>
      <c r="O310" t="s">
        <v>124</v>
      </c>
      <c r="P310">
        <v>2</v>
      </c>
      <c r="Q310" t="s">
        <v>67</v>
      </c>
      <c r="R310" t="s">
        <v>32</v>
      </c>
      <c r="S310">
        <v>4.5999999999999996</v>
      </c>
      <c r="T310">
        <v>5</v>
      </c>
      <c r="U310" t="s">
        <v>564</v>
      </c>
      <c r="V310" s="1">
        <v>43517</v>
      </c>
      <c r="W310">
        <v>16</v>
      </c>
      <c r="X310" t="s">
        <v>586</v>
      </c>
    </row>
    <row r="311" spans="1:24" x14ac:dyDescent="0.25">
      <c r="A311" t="s">
        <v>498</v>
      </c>
      <c r="B311">
        <v>10043</v>
      </c>
      <c r="C311" t="s">
        <v>85</v>
      </c>
      <c r="D311" s="1">
        <v>28910</v>
      </c>
      <c r="E311" t="s">
        <v>47</v>
      </c>
      <c r="F311" t="s">
        <v>24</v>
      </c>
      <c r="G311" t="s">
        <v>25</v>
      </c>
      <c r="H311" t="s">
        <v>26</v>
      </c>
      <c r="I311" s="1">
        <v>42093</v>
      </c>
      <c r="J311" t="s">
        <v>584</v>
      </c>
      <c r="K311" s="1" t="s">
        <v>500</v>
      </c>
      <c r="L311" t="s">
        <v>27</v>
      </c>
      <c r="M311" t="s">
        <v>28</v>
      </c>
      <c r="N311" t="s">
        <v>40</v>
      </c>
      <c r="O311" t="s">
        <v>41</v>
      </c>
      <c r="P311">
        <v>4</v>
      </c>
      <c r="Q311" t="s">
        <v>67</v>
      </c>
      <c r="R311" t="s">
        <v>43</v>
      </c>
      <c r="S311">
        <v>5</v>
      </c>
      <c r="T311">
        <v>3</v>
      </c>
      <c r="U311" t="s">
        <v>566</v>
      </c>
      <c r="V311" s="1">
        <v>43497</v>
      </c>
      <c r="W311">
        <v>11</v>
      </c>
      <c r="X311" t="s">
        <v>586</v>
      </c>
    </row>
    <row r="312" spans="1:24" x14ac:dyDescent="0.25">
      <c r="A312" t="s">
        <v>499</v>
      </c>
      <c r="B312">
        <v>10271</v>
      </c>
      <c r="C312" t="s">
        <v>22</v>
      </c>
      <c r="D312" s="1">
        <v>28719</v>
      </c>
      <c r="E312" t="s">
        <v>47</v>
      </c>
      <c r="F312" t="s">
        <v>65</v>
      </c>
      <c r="G312" t="s">
        <v>25</v>
      </c>
      <c r="H312" t="s">
        <v>105</v>
      </c>
      <c r="I312" s="1">
        <v>41911</v>
      </c>
      <c r="J312" t="s">
        <v>584</v>
      </c>
      <c r="K312" s="1" t="s">
        <v>500</v>
      </c>
      <c r="L312" t="s">
        <v>27</v>
      </c>
      <c r="M312" t="s">
        <v>28</v>
      </c>
      <c r="N312" t="s">
        <v>29</v>
      </c>
      <c r="O312" t="s">
        <v>80</v>
      </c>
      <c r="P312">
        <v>14</v>
      </c>
      <c r="Q312" t="s">
        <v>31</v>
      </c>
      <c r="R312" t="s">
        <v>43</v>
      </c>
      <c r="S312">
        <v>4.5</v>
      </c>
      <c r="T312">
        <v>5</v>
      </c>
      <c r="U312" t="s">
        <v>564</v>
      </c>
      <c r="V312" s="1">
        <v>43495</v>
      </c>
      <c r="W312">
        <v>2</v>
      </c>
      <c r="X312" t="s">
        <v>586</v>
      </c>
    </row>
    <row r="313" spans="1:24" x14ac:dyDescent="0.25">
      <c r="K313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12"/>
  <sheetViews>
    <sheetView tabSelected="1" workbookViewId="0">
      <selection activeCell="F1" sqref="F1"/>
    </sheetView>
  </sheetViews>
  <sheetFormatPr defaultRowHeight="15" x14ac:dyDescent="0.25"/>
  <cols>
    <col min="2" max="2" width="25.5703125" style="1" customWidth="1"/>
    <col min="3" max="3" width="24.5703125" customWidth="1"/>
    <col min="4" max="4" width="25.5703125" customWidth="1"/>
    <col min="5" max="5" width="15.42578125" customWidth="1"/>
    <col min="6" max="6" width="12.28515625" customWidth="1"/>
    <col min="7" max="7" width="9.140625" customWidth="1"/>
    <col min="8" max="8" width="18.140625" customWidth="1"/>
    <col min="9" max="9" width="20.42578125" style="1" customWidth="1"/>
    <col min="10" max="10" width="12.42578125" customWidth="1"/>
    <col min="11" max="11" width="12.7109375" customWidth="1"/>
  </cols>
  <sheetData>
    <row r="1" spans="2:11" x14ac:dyDescent="0.25">
      <c r="B1" s="1" t="s">
        <v>19</v>
      </c>
      <c r="C1" t="s">
        <v>501</v>
      </c>
      <c r="D1" t="s">
        <v>587</v>
      </c>
      <c r="E1" t="s">
        <v>588</v>
      </c>
      <c r="F1" t="s">
        <v>502</v>
      </c>
    </row>
    <row r="2" spans="2:11" x14ac:dyDescent="0.25">
      <c r="B2" s="1" t="s">
        <v>33</v>
      </c>
      <c r="C2">
        <v>1</v>
      </c>
      <c r="D2">
        <v>17</v>
      </c>
      <c r="E2">
        <v>10026</v>
      </c>
      <c r="F2">
        <v>2019</v>
      </c>
      <c r="H2" t="str">
        <f t="shared" ref="H2:H65" si="0">D2&amp;"/"&amp;C2&amp;"/"&amp;F2</f>
        <v>17/1/2019</v>
      </c>
      <c r="I2" s="1">
        <v>43482</v>
      </c>
      <c r="K2" s="1"/>
    </row>
    <row r="3" spans="2:11" x14ac:dyDescent="0.25">
      <c r="B3" s="1" t="s">
        <v>44</v>
      </c>
      <c r="C3">
        <v>2</v>
      </c>
      <c r="D3">
        <v>24</v>
      </c>
      <c r="E3">
        <v>10084</v>
      </c>
      <c r="F3">
        <v>2016</v>
      </c>
      <c r="H3" t="str">
        <f t="shared" si="0"/>
        <v>24/2/2016</v>
      </c>
      <c r="I3" s="1">
        <v>42424</v>
      </c>
      <c r="K3" s="1"/>
    </row>
    <row r="4" spans="2:11" x14ac:dyDescent="0.25">
      <c r="B4" s="1" t="s">
        <v>50</v>
      </c>
      <c r="C4">
        <v>5</v>
      </c>
      <c r="D4">
        <v>15</v>
      </c>
      <c r="E4">
        <v>10196</v>
      </c>
      <c r="F4">
        <v>2012</v>
      </c>
      <c r="H4" t="str">
        <f t="shared" si="0"/>
        <v>15/5/2012</v>
      </c>
      <c r="I4" s="1">
        <v>41044</v>
      </c>
      <c r="K4" s="1"/>
    </row>
    <row r="5" spans="2:11" x14ac:dyDescent="0.25">
      <c r="B5" s="1">
        <v>43525</v>
      </c>
      <c r="C5">
        <v>1</v>
      </c>
      <c r="D5">
        <v>3</v>
      </c>
      <c r="E5">
        <v>10088</v>
      </c>
      <c r="F5">
        <v>2019</v>
      </c>
      <c r="H5" t="str">
        <f t="shared" si="0"/>
        <v>3/1/2019</v>
      </c>
      <c r="I5" s="1">
        <v>43468</v>
      </c>
      <c r="K5" s="1"/>
    </row>
    <row r="6" spans="2:11" x14ac:dyDescent="0.25">
      <c r="B6" s="1">
        <v>42371</v>
      </c>
      <c r="C6">
        <v>2</v>
      </c>
      <c r="D6">
        <v>1</v>
      </c>
      <c r="E6">
        <v>10069</v>
      </c>
      <c r="F6">
        <v>2016</v>
      </c>
      <c r="H6" t="str">
        <f t="shared" si="0"/>
        <v>1/2/2016</v>
      </c>
      <c r="I6" s="1">
        <v>42401</v>
      </c>
      <c r="K6" s="1"/>
    </row>
    <row r="7" spans="2:11" x14ac:dyDescent="0.25">
      <c r="B7" s="1">
        <v>43647</v>
      </c>
      <c r="C7">
        <v>1</v>
      </c>
      <c r="D7">
        <v>7</v>
      </c>
      <c r="E7">
        <v>10002</v>
      </c>
      <c r="F7">
        <v>2019</v>
      </c>
      <c r="H7" t="str">
        <f t="shared" si="0"/>
        <v>7/1/2019</v>
      </c>
      <c r="I7" s="1">
        <v>43472</v>
      </c>
      <c r="K7" s="1"/>
    </row>
    <row r="8" spans="2:11" x14ac:dyDescent="0.25">
      <c r="B8" s="1">
        <v>43497</v>
      </c>
      <c r="C8">
        <v>1</v>
      </c>
      <c r="D8">
        <v>2</v>
      </c>
      <c r="E8">
        <v>10194</v>
      </c>
      <c r="F8">
        <v>2019</v>
      </c>
      <c r="H8" t="str">
        <f t="shared" si="0"/>
        <v>2/1/2019</v>
      </c>
      <c r="I8" s="1">
        <v>43467</v>
      </c>
      <c r="K8" s="1"/>
    </row>
    <row r="9" spans="2:11" x14ac:dyDescent="0.25">
      <c r="B9" s="1" t="s">
        <v>68</v>
      </c>
      <c r="C9">
        <v>2</v>
      </c>
      <c r="D9">
        <v>25</v>
      </c>
      <c r="E9">
        <v>10062</v>
      </c>
      <c r="F9">
        <v>2019</v>
      </c>
      <c r="H9" t="str">
        <f t="shared" si="0"/>
        <v>25/2/2019</v>
      </c>
      <c r="I9" s="1">
        <v>43521</v>
      </c>
      <c r="K9" s="1"/>
    </row>
    <row r="10" spans="2:11" x14ac:dyDescent="0.25">
      <c r="B10" s="1" t="s">
        <v>73</v>
      </c>
      <c r="C10">
        <v>1</v>
      </c>
      <c r="D10">
        <v>25</v>
      </c>
      <c r="E10">
        <v>10114</v>
      </c>
      <c r="F10">
        <v>2019</v>
      </c>
      <c r="H10" t="str">
        <f t="shared" si="0"/>
        <v>25/1/2019</v>
      </c>
      <c r="I10" s="1">
        <v>43490</v>
      </c>
      <c r="K10" s="1"/>
    </row>
    <row r="11" spans="2:11" x14ac:dyDescent="0.25">
      <c r="B11" s="1" t="s">
        <v>77</v>
      </c>
      <c r="C11">
        <v>2</v>
      </c>
      <c r="D11">
        <v>18</v>
      </c>
      <c r="E11">
        <v>10250</v>
      </c>
      <c r="F11">
        <v>2019</v>
      </c>
      <c r="H11" t="str">
        <f t="shared" si="0"/>
        <v>18/2/2019</v>
      </c>
      <c r="I11" s="1">
        <v>43514</v>
      </c>
      <c r="K11" s="1"/>
    </row>
    <row r="12" spans="2:11" x14ac:dyDescent="0.25">
      <c r="B12" s="1" t="s">
        <v>81</v>
      </c>
      <c r="C12">
        <v>1</v>
      </c>
      <c r="D12">
        <v>30</v>
      </c>
      <c r="E12">
        <v>10252</v>
      </c>
      <c r="F12">
        <v>2016</v>
      </c>
      <c r="H12" t="str">
        <f t="shared" si="0"/>
        <v>30/1/2016</v>
      </c>
      <c r="I12" s="1">
        <v>42399</v>
      </c>
      <c r="K12" s="1"/>
    </row>
    <row r="13" spans="2:11" x14ac:dyDescent="0.25">
      <c r="B13" s="1">
        <v>42526</v>
      </c>
      <c r="C13">
        <v>5</v>
      </c>
      <c r="D13">
        <v>6</v>
      </c>
      <c r="E13">
        <v>10242</v>
      </c>
      <c r="F13">
        <v>2016</v>
      </c>
      <c r="H13" t="str">
        <f t="shared" si="0"/>
        <v>6/5/2016</v>
      </c>
      <c r="I13" s="1">
        <v>42496</v>
      </c>
      <c r="K13" s="1"/>
    </row>
    <row r="14" spans="2:11" x14ac:dyDescent="0.25">
      <c r="B14" s="1" t="s">
        <v>68</v>
      </c>
      <c r="C14">
        <v>2</v>
      </c>
      <c r="D14">
        <v>25</v>
      </c>
      <c r="E14">
        <v>10012</v>
      </c>
      <c r="F14">
        <v>2019</v>
      </c>
      <c r="H14" t="str">
        <f t="shared" si="0"/>
        <v>25/2/2019</v>
      </c>
      <c r="I14" s="1">
        <v>43521</v>
      </c>
      <c r="K14" s="1"/>
    </row>
    <row r="15" spans="2:11" x14ac:dyDescent="0.25">
      <c r="B15" s="1" t="s">
        <v>90</v>
      </c>
      <c r="C15">
        <v>2</v>
      </c>
      <c r="D15">
        <v>14</v>
      </c>
      <c r="E15">
        <v>10265</v>
      </c>
      <c r="F15">
        <v>2019</v>
      </c>
      <c r="H15" t="str">
        <f t="shared" si="0"/>
        <v>14/2/2019</v>
      </c>
      <c r="I15" s="1">
        <v>43510</v>
      </c>
      <c r="K15" s="1"/>
    </row>
    <row r="16" spans="2:11" x14ac:dyDescent="0.25">
      <c r="B16" s="1">
        <v>42769</v>
      </c>
      <c r="C16">
        <v>3</v>
      </c>
      <c r="D16">
        <v>2</v>
      </c>
      <c r="E16">
        <v>10066</v>
      </c>
      <c r="F16">
        <v>2017</v>
      </c>
      <c r="H16" t="str">
        <f t="shared" si="0"/>
        <v>2/3/2017</v>
      </c>
      <c r="I16" s="1">
        <v>42796</v>
      </c>
      <c r="K16" s="1"/>
    </row>
    <row r="17" spans="2:11" x14ac:dyDescent="0.25">
      <c r="B17" s="1">
        <v>42859</v>
      </c>
      <c r="C17">
        <v>4</v>
      </c>
      <c r="D17">
        <v>5</v>
      </c>
      <c r="E17">
        <v>10061</v>
      </c>
      <c r="F17">
        <v>2017</v>
      </c>
      <c r="H17" t="str">
        <f t="shared" si="0"/>
        <v>5/4/2017</v>
      </c>
      <c r="I17" s="1">
        <v>42830</v>
      </c>
      <c r="K17" s="1"/>
    </row>
    <row r="18" spans="2:11" x14ac:dyDescent="0.25">
      <c r="B18" s="1" t="s">
        <v>97</v>
      </c>
      <c r="C18">
        <v>1</v>
      </c>
      <c r="D18">
        <v>14</v>
      </c>
      <c r="E18">
        <v>10023</v>
      </c>
      <c r="F18">
        <v>2019</v>
      </c>
      <c r="H18" t="str">
        <f t="shared" si="0"/>
        <v>14/1/2019</v>
      </c>
      <c r="I18" s="1">
        <v>43479</v>
      </c>
      <c r="K18" s="1"/>
    </row>
    <row r="19" spans="2:11" x14ac:dyDescent="0.25">
      <c r="B19" s="1" t="s">
        <v>97</v>
      </c>
      <c r="C19">
        <v>1</v>
      </c>
      <c r="D19">
        <v>14</v>
      </c>
      <c r="E19">
        <v>10055</v>
      </c>
      <c r="F19">
        <v>2019</v>
      </c>
      <c r="H19" t="str">
        <f t="shared" si="0"/>
        <v>14/1/2019</v>
      </c>
      <c r="I19" s="1">
        <v>43479</v>
      </c>
      <c r="K19" s="1"/>
    </row>
    <row r="20" spans="2:11" x14ac:dyDescent="0.25">
      <c r="B20" s="1" t="s">
        <v>103</v>
      </c>
      <c r="C20">
        <v>1</v>
      </c>
      <c r="D20">
        <v>15</v>
      </c>
      <c r="E20">
        <v>10245</v>
      </c>
      <c r="F20">
        <v>2015</v>
      </c>
      <c r="H20" t="str">
        <f t="shared" si="0"/>
        <v>15/1/2015</v>
      </c>
      <c r="I20" s="1">
        <v>42019</v>
      </c>
      <c r="K20" s="1"/>
    </row>
    <row r="21" spans="2:11" x14ac:dyDescent="0.25">
      <c r="B21" s="1">
        <v>43770</v>
      </c>
      <c r="C21">
        <v>1</v>
      </c>
      <c r="D21">
        <v>11</v>
      </c>
      <c r="E21">
        <v>10277</v>
      </c>
      <c r="F21">
        <v>2019</v>
      </c>
      <c r="H21" t="str">
        <f t="shared" si="0"/>
        <v>11/1/2019</v>
      </c>
      <c r="I21" s="1">
        <v>43476</v>
      </c>
      <c r="K21" s="1"/>
    </row>
    <row r="22" spans="2:11" x14ac:dyDescent="0.25">
      <c r="B22" s="1" t="s">
        <v>97</v>
      </c>
      <c r="C22">
        <v>1</v>
      </c>
      <c r="D22">
        <v>14</v>
      </c>
      <c r="E22">
        <v>10046</v>
      </c>
      <c r="F22">
        <v>2019</v>
      </c>
      <c r="H22" t="str">
        <f t="shared" si="0"/>
        <v>14/1/2019</v>
      </c>
      <c r="I22" s="1">
        <v>43479</v>
      </c>
      <c r="K22" s="1"/>
    </row>
    <row r="23" spans="2:11" x14ac:dyDescent="0.25">
      <c r="B23" s="1">
        <v>43739</v>
      </c>
      <c r="C23">
        <v>1</v>
      </c>
      <c r="D23">
        <v>10</v>
      </c>
      <c r="E23">
        <v>10226</v>
      </c>
      <c r="F23">
        <v>2019</v>
      </c>
      <c r="H23" t="str">
        <f t="shared" si="0"/>
        <v>10/1/2019</v>
      </c>
      <c r="I23" s="1">
        <v>43475</v>
      </c>
      <c r="K23" s="1"/>
    </row>
    <row r="24" spans="2:11" x14ac:dyDescent="0.25">
      <c r="B24" s="1" t="s">
        <v>109</v>
      </c>
      <c r="C24">
        <v>2</v>
      </c>
      <c r="D24">
        <v>27</v>
      </c>
      <c r="E24">
        <v>10003</v>
      </c>
      <c r="F24">
        <v>2019</v>
      </c>
      <c r="H24" t="str">
        <f t="shared" si="0"/>
        <v>27/2/2019</v>
      </c>
      <c r="I24" s="1">
        <v>43523</v>
      </c>
      <c r="K24" s="1"/>
    </row>
    <row r="25" spans="2:11" x14ac:dyDescent="0.25">
      <c r="B25" s="1" t="s">
        <v>109</v>
      </c>
      <c r="C25">
        <v>2</v>
      </c>
      <c r="D25">
        <v>27</v>
      </c>
      <c r="E25">
        <v>10294</v>
      </c>
      <c r="F25">
        <v>2019</v>
      </c>
      <c r="H25" t="str">
        <f t="shared" si="0"/>
        <v>27/2/2019</v>
      </c>
      <c r="I25" s="1">
        <v>43523</v>
      </c>
      <c r="K25" s="1"/>
    </row>
    <row r="26" spans="2:11" x14ac:dyDescent="0.25">
      <c r="B26" s="1">
        <v>41732</v>
      </c>
      <c r="C26">
        <v>3</v>
      </c>
      <c r="D26">
        <v>4</v>
      </c>
      <c r="E26">
        <v>10267</v>
      </c>
      <c r="F26">
        <v>2014</v>
      </c>
      <c r="H26" t="str">
        <f t="shared" si="0"/>
        <v>4/3/2014</v>
      </c>
      <c r="I26" s="1">
        <v>41702</v>
      </c>
      <c r="K26" s="1"/>
    </row>
    <row r="27" spans="2:11" x14ac:dyDescent="0.25">
      <c r="B27" s="1">
        <v>42644</v>
      </c>
      <c r="C27">
        <v>1</v>
      </c>
      <c r="D27">
        <v>10</v>
      </c>
      <c r="E27">
        <v>10199</v>
      </c>
      <c r="F27">
        <v>2016</v>
      </c>
      <c r="H27" t="str">
        <f t="shared" si="0"/>
        <v>10/1/2016</v>
      </c>
      <c r="I27" s="1">
        <v>42379</v>
      </c>
      <c r="K27" s="1"/>
    </row>
    <row r="28" spans="2:11" x14ac:dyDescent="0.25">
      <c r="B28" s="1" t="s">
        <v>77</v>
      </c>
      <c r="C28">
        <v>2</v>
      </c>
      <c r="D28">
        <v>18</v>
      </c>
      <c r="E28">
        <v>10081</v>
      </c>
      <c r="F28">
        <v>2019</v>
      </c>
      <c r="H28" t="str">
        <f t="shared" si="0"/>
        <v>18/2/2019</v>
      </c>
      <c r="I28" s="1">
        <v>43514</v>
      </c>
      <c r="K28" s="1"/>
    </row>
    <row r="29" spans="2:11" x14ac:dyDescent="0.25">
      <c r="B29" s="1" t="s">
        <v>125</v>
      </c>
      <c r="C29">
        <v>2</v>
      </c>
      <c r="D29">
        <v>20</v>
      </c>
      <c r="E29">
        <v>10175</v>
      </c>
      <c r="F29">
        <v>2014</v>
      </c>
      <c r="H29" t="str">
        <f t="shared" si="0"/>
        <v>20/2/2014</v>
      </c>
      <c r="I29" s="1">
        <v>41690</v>
      </c>
      <c r="K29" s="1"/>
    </row>
    <row r="30" spans="2:11" x14ac:dyDescent="0.25">
      <c r="B30" s="1">
        <v>41367</v>
      </c>
      <c r="C30">
        <v>3</v>
      </c>
      <c r="D30">
        <v>4</v>
      </c>
      <c r="E30">
        <v>10177</v>
      </c>
      <c r="F30">
        <v>2013</v>
      </c>
      <c r="H30" t="str">
        <f t="shared" si="0"/>
        <v>4/3/2013</v>
      </c>
      <c r="I30" s="1">
        <v>41337</v>
      </c>
      <c r="K30" s="1"/>
    </row>
    <row r="31" spans="2:11" x14ac:dyDescent="0.25">
      <c r="B31" s="1" t="s">
        <v>129</v>
      </c>
      <c r="C31">
        <v>1</v>
      </c>
      <c r="D31">
        <v>15</v>
      </c>
      <c r="E31">
        <v>10238</v>
      </c>
      <c r="F31">
        <v>2019</v>
      </c>
      <c r="H31" t="str">
        <f t="shared" si="0"/>
        <v>15/1/2019</v>
      </c>
      <c r="I31" s="1">
        <v>43480</v>
      </c>
      <c r="K31" s="1"/>
    </row>
    <row r="32" spans="2:11" x14ac:dyDescent="0.25">
      <c r="B32" s="1">
        <v>43467</v>
      </c>
      <c r="C32">
        <v>2</v>
      </c>
      <c r="D32">
        <v>1</v>
      </c>
      <c r="E32">
        <v>10184</v>
      </c>
      <c r="F32">
        <v>2019</v>
      </c>
      <c r="H32" t="str">
        <f t="shared" si="0"/>
        <v>1/2/2019</v>
      </c>
      <c r="I32" s="1">
        <v>43497</v>
      </c>
      <c r="K32" s="1"/>
    </row>
    <row r="33" spans="2:11" x14ac:dyDescent="0.25">
      <c r="B33" s="1" t="s">
        <v>133</v>
      </c>
      <c r="C33">
        <v>1</v>
      </c>
      <c r="D33">
        <v>21</v>
      </c>
      <c r="E33">
        <v>10203</v>
      </c>
      <c r="F33">
        <v>2019</v>
      </c>
      <c r="H33" t="str">
        <f t="shared" si="0"/>
        <v>21/1/2019</v>
      </c>
      <c r="I33" s="1">
        <v>43486</v>
      </c>
      <c r="K33" s="1"/>
    </row>
    <row r="34" spans="2:11" x14ac:dyDescent="0.25">
      <c r="B34" s="1">
        <v>41549</v>
      </c>
      <c r="C34">
        <v>2</v>
      </c>
      <c r="D34">
        <v>10</v>
      </c>
      <c r="E34">
        <v>10188</v>
      </c>
      <c r="F34">
        <v>2013</v>
      </c>
      <c r="H34" t="str">
        <f t="shared" si="0"/>
        <v>10/2/2013</v>
      </c>
      <c r="I34" s="1">
        <v>41315</v>
      </c>
      <c r="K34" s="1"/>
    </row>
    <row r="35" spans="2:11" x14ac:dyDescent="0.25">
      <c r="B35" s="1" t="s">
        <v>139</v>
      </c>
      <c r="C35">
        <v>2</v>
      </c>
      <c r="D35">
        <v>21</v>
      </c>
      <c r="E35">
        <v>10107</v>
      </c>
      <c r="F35">
        <v>2019</v>
      </c>
      <c r="H35" t="str">
        <f t="shared" si="0"/>
        <v>21/2/2019</v>
      </c>
      <c r="I35" s="1">
        <v>43517</v>
      </c>
      <c r="K35" s="1"/>
    </row>
    <row r="36" spans="2:11" x14ac:dyDescent="0.25">
      <c r="B36" s="1" t="s">
        <v>97</v>
      </c>
      <c r="C36">
        <v>1</v>
      </c>
      <c r="D36">
        <v>14</v>
      </c>
      <c r="E36">
        <v>10181</v>
      </c>
      <c r="F36">
        <v>2019</v>
      </c>
      <c r="H36" t="str">
        <f t="shared" si="0"/>
        <v>14/1/2019</v>
      </c>
      <c r="I36" s="1">
        <v>43479</v>
      </c>
      <c r="K36" s="1"/>
    </row>
    <row r="37" spans="2:11" x14ac:dyDescent="0.25">
      <c r="B37" s="1" t="s">
        <v>133</v>
      </c>
      <c r="C37">
        <v>1</v>
      </c>
      <c r="D37">
        <v>21</v>
      </c>
      <c r="E37">
        <v>10150</v>
      </c>
      <c r="F37">
        <v>2019</v>
      </c>
      <c r="H37" t="str">
        <f t="shared" si="0"/>
        <v>21/1/2019</v>
      </c>
      <c r="I37" s="1">
        <v>43486</v>
      </c>
      <c r="K37" s="1"/>
    </row>
    <row r="38" spans="2:11" x14ac:dyDescent="0.25">
      <c r="B38" s="1" t="s">
        <v>145</v>
      </c>
      <c r="C38">
        <v>2</v>
      </c>
      <c r="D38">
        <v>22</v>
      </c>
      <c r="E38">
        <v>10001</v>
      </c>
      <c r="F38">
        <v>2019</v>
      </c>
      <c r="H38" t="str">
        <f t="shared" si="0"/>
        <v>22/2/2019</v>
      </c>
      <c r="I38" s="1">
        <v>43518</v>
      </c>
      <c r="K38" s="1"/>
    </row>
    <row r="39" spans="2:11" x14ac:dyDescent="0.25">
      <c r="B39" s="1" t="s">
        <v>147</v>
      </c>
      <c r="C39">
        <v>1</v>
      </c>
      <c r="D39">
        <v>30</v>
      </c>
      <c r="E39">
        <v>10085</v>
      </c>
      <c r="F39">
        <v>2019</v>
      </c>
      <c r="H39" t="str">
        <f t="shared" si="0"/>
        <v>30/1/2019</v>
      </c>
      <c r="I39" s="1">
        <v>43495</v>
      </c>
      <c r="K39" s="1"/>
    </row>
    <row r="40" spans="2:11" x14ac:dyDescent="0.25">
      <c r="B40" s="1">
        <v>43467</v>
      </c>
      <c r="C40">
        <v>2</v>
      </c>
      <c r="D40">
        <v>1</v>
      </c>
      <c r="E40">
        <v>10115</v>
      </c>
      <c r="F40">
        <v>2019</v>
      </c>
      <c r="H40" t="str">
        <f t="shared" si="0"/>
        <v>1/2/2019</v>
      </c>
      <c r="I40" s="1">
        <v>43497</v>
      </c>
      <c r="K40" s="1"/>
    </row>
    <row r="41" spans="2:11" x14ac:dyDescent="0.25">
      <c r="B41" s="1" t="s">
        <v>77</v>
      </c>
      <c r="C41">
        <v>2</v>
      </c>
      <c r="D41">
        <v>18</v>
      </c>
      <c r="E41">
        <v>10082</v>
      </c>
      <c r="F41">
        <v>2019</v>
      </c>
      <c r="H41" t="str">
        <f t="shared" si="0"/>
        <v>18/2/2019</v>
      </c>
      <c r="I41" s="1">
        <v>43514</v>
      </c>
      <c r="K41" s="1"/>
    </row>
    <row r="42" spans="2:11" x14ac:dyDescent="0.25">
      <c r="B42" s="1" t="s">
        <v>133</v>
      </c>
      <c r="C42">
        <v>1</v>
      </c>
      <c r="D42">
        <v>21</v>
      </c>
      <c r="E42">
        <v>10040</v>
      </c>
      <c r="F42">
        <v>2019</v>
      </c>
      <c r="H42" t="str">
        <f t="shared" si="0"/>
        <v>21/1/2019</v>
      </c>
      <c r="I42" s="1">
        <v>43486</v>
      </c>
      <c r="K42" s="1"/>
    </row>
    <row r="43" spans="2:11" x14ac:dyDescent="0.25">
      <c r="B43" s="1">
        <v>43801</v>
      </c>
      <c r="C43">
        <v>2</v>
      </c>
      <c r="D43">
        <v>12</v>
      </c>
      <c r="E43">
        <v>10067</v>
      </c>
      <c r="F43">
        <v>2019</v>
      </c>
      <c r="H43" t="str">
        <f t="shared" si="0"/>
        <v>12/2/2019</v>
      </c>
      <c r="I43" s="1">
        <v>43508</v>
      </c>
      <c r="K43" s="1"/>
    </row>
    <row r="44" spans="2:11" x14ac:dyDescent="0.25">
      <c r="B44" s="1" t="s">
        <v>129</v>
      </c>
      <c r="C44">
        <v>1</v>
      </c>
      <c r="D44">
        <v>15</v>
      </c>
      <c r="E44">
        <v>10108</v>
      </c>
      <c r="F44">
        <v>2019</v>
      </c>
      <c r="H44" t="str">
        <f t="shared" si="0"/>
        <v>15/1/2019</v>
      </c>
      <c r="I44" s="1">
        <v>43480</v>
      </c>
      <c r="K44" s="1"/>
    </row>
    <row r="45" spans="2:11" x14ac:dyDescent="0.25">
      <c r="B45" s="1" t="s">
        <v>155</v>
      </c>
      <c r="C45">
        <v>2</v>
      </c>
      <c r="D45">
        <v>19</v>
      </c>
      <c r="E45">
        <v>10210</v>
      </c>
      <c r="F45">
        <v>2019</v>
      </c>
      <c r="H45" t="str">
        <f t="shared" si="0"/>
        <v>19/2/2019</v>
      </c>
      <c r="I45" s="1">
        <v>43515</v>
      </c>
      <c r="K45" s="1"/>
    </row>
    <row r="46" spans="2:11" x14ac:dyDescent="0.25">
      <c r="B46" s="1" t="s">
        <v>97</v>
      </c>
      <c r="C46">
        <v>1</v>
      </c>
      <c r="D46">
        <v>14</v>
      </c>
      <c r="E46">
        <v>10154</v>
      </c>
      <c r="F46">
        <v>2019</v>
      </c>
      <c r="H46" t="str">
        <f t="shared" si="0"/>
        <v>14/1/2019</v>
      </c>
      <c r="I46" s="1">
        <v>43479</v>
      </c>
      <c r="K46" s="1"/>
    </row>
    <row r="47" spans="2:11" x14ac:dyDescent="0.25">
      <c r="B47" s="1" t="s">
        <v>159</v>
      </c>
      <c r="C47">
        <v>1</v>
      </c>
      <c r="D47">
        <v>19</v>
      </c>
      <c r="E47">
        <v>10200</v>
      </c>
      <c r="F47">
        <v>2019</v>
      </c>
      <c r="H47" t="str">
        <f t="shared" si="0"/>
        <v>19/1/2019</v>
      </c>
      <c r="I47" s="1">
        <v>43484</v>
      </c>
      <c r="K47" s="1"/>
    </row>
    <row r="48" spans="2:11" x14ac:dyDescent="0.25">
      <c r="B48" s="1">
        <v>42280</v>
      </c>
      <c r="C48">
        <v>3</v>
      </c>
      <c r="D48">
        <v>10</v>
      </c>
      <c r="E48">
        <v>10240</v>
      </c>
      <c r="F48">
        <v>2015</v>
      </c>
      <c r="H48" t="str">
        <f t="shared" si="0"/>
        <v>10/3/2015</v>
      </c>
      <c r="I48" s="1">
        <v>42073</v>
      </c>
      <c r="K48" s="1"/>
    </row>
    <row r="49" spans="2:11" x14ac:dyDescent="0.25">
      <c r="B49" s="1" t="s">
        <v>147</v>
      </c>
      <c r="C49">
        <v>1</v>
      </c>
      <c r="D49">
        <v>30</v>
      </c>
      <c r="E49">
        <v>10168</v>
      </c>
      <c r="F49">
        <v>2019</v>
      </c>
      <c r="H49" t="str">
        <f t="shared" si="0"/>
        <v>30/1/2019</v>
      </c>
      <c r="I49" s="1">
        <v>43495</v>
      </c>
      <c r="K49" s="1"/>
    </row>
    <row r="50" spans="2:11" x14ac:dyDescent="0.25">
      <c r="B50" s="1" t="s">
        <v>109</v>
      </c>
      <c r="C50">
        <v>2</v>
      </c>
      <c r="D50">
        <v>27</v>
      </c>
      <c r="E50">
        <v>10220</v>
      </c>
      <c r="F50">
        <v>2019</v>
      </c>
      <c r="H50" t="str">
        <f t="shared" si="0"/>
        <v>27/2/2019</v>
      </c>
      <c r="I50" s="1">
        <v>43523</v>
      </c>
      <c r="K50" s="1"/>
    </row>
    <row r="51" spans="2:11" x14ac:dyDescent="0.25">
      <c r="B51" s="1">
        <v>40973</v>
      </c>
      <c r="C51">
        <v>5</v>
      </c>
      <c r="D51">
        <v>3</v>
      </c>
      <c r="E51">
        <v>10275</v>
      </c>
      <c r="F51">
        <v>2012</v>
      </c>
      <c r="H51" t="str">
        <f t="shared" si="0"/>
        <v>3/5/2012</v>
      </c>
      <c r="I51" s="1">
        <v>41032</v>
      </c>
      <c r="K51" s="1"/>
    </row>
    <row r="52" spans="2:11" x14ac:dyDescent="0.25">
      <c r="B52" s="1">
        <v>40638</v>
      </c>
      <c r="C52">
        <v>5</v>
      </c>
      <c r="D52">
        <v>4</v>
      </c>
      <c r="E52">
        <v>10269</v>
      </c>
      <c r="F52">
        <v>2011</v>
      </c>
      <c r="H52" t="str">
        <f t="shared" si="0"/>
        <v>4/5/2011</v>
      </c>
      <c r="I52" s="1">
        <v>40667</v>
      </c>
      <c r="K52" s="1"/>
    </row>
    <row r="53" spans="2:11" x14ac:dyDescent="0.25">
      <c r="B53" s="1" t="s">
        <v>169</v>
      </c>
      <c r="C53">
        <v>2</v>
      </c>
      <c r="D53">
        <v>28</v>
      </c>
      <c r="E53">
        <v>10029</v>
      </c>
      <c r="F53">
        <v>2019</v>
      </c>
      <c r="H53" t="str">
        <f t="shared" si="0"/>
        <v>28/2/2019</v>
      </c>
      <c r="I53" s="1">
        <v>43524</v>
      </c>
      <c r="K53" s="1"/>
    </row>
    <row r="54" spans="2:11" x14ac:dyDescent="0.25">
      <c r="B54" s="1" t="s">
        <v>97</v>
      </c>
      <c r="C54">
        <v>1</v>
      </c>
      <c r="D54">
        <v>14</v>
      </c>
      <c r="E54">
        <v>10261</v>
      </c>
      <c r="F54">
        <v>2019</v>
      </c>
      <c r="H54" t="str">
        <f t="shared" si="0"/>
        <v>14/1/2019</v>
      </c>
      <c r="I54" s="1">
        <v>43479</v>
      </c>
      <c r="K54" s="1"/>
    </row>
    <row r="55" spans="2:11" x14ac:dyDescent="0.25">
      <c r="B55" s="1">
        <v>42374</v>
      </c>
      <c r="C55">
        <v>5</v>
      </c>
      <c r="D55">
        <v>1</v>
      </c>
      <c r="E55">
        <v>10292</v>
      </c>
      <c r="F55">
        <v>2016</v>
      </c>
      <c r="H55" t="str">
        <f t="shared" si="0"/>
        <v>1/5/2016</v>
      </c>
      <c r="I55" s="1">
        <v>42491</v>
      </c>
      <c r="K55" s="1"/>
    </row>
    <row r="56" spans="2:11" x14ac:dyDescent="0.25">
      <c r="B56" s="1" t="s">
        <v>97</v>
      </c>
      <c r="C56">
        <v>1</v>
      </c>
      <c r="D56">
        <v>14</v>
      </c>
      <c r="E56">
        <v>10282</v>
      </c>
      <c r="F56">
        <v>2019</v>
      </c>
      <c r="H56" t="str">
        <f t="shared" si="0"/>
        <v>14/1/2019</v>
      </c>
      <c r="I56" s="1">
        <v>43479</v>
      </c>
      <c r="K56" s="1"/>
    </row>
    <row r="57" spans="2:11" x14ac:dyDescent="0.25">
      <c r="B57" s="1">
        <v>43557</v>
      </c>
      <c r="C57">
        <v>2</v>
      </c>
      <c r="D57">
        <v>4</v>
      </c>
      <c r="E57">
        <v>10019</v>
      </c>
      <c r="F57">
        <v>2019</v>
      </c>
      <c r="H57" t="str">
        <f t="shared" si="0"/>
        <v>4/2/2019</v>
      </c>
      <c r="I57" s="1">
        <v>43500</v>
      </c>
      <c r="K57" s="1"/>
    </row>
    <row r="58" spans="2:11" x14ac:dyDescent="0.25">
      <c r="B58" s="1" t="s">
        <v>90</v>
      </c>
      <c r="C58">
        <v>2</v>
      </c>
      <c r="D58">
        <v>14</v>
      </c>
      <c r="E58">
        <v>10094</v>
      </c>
      <c r="F58">
        <v>2019</v>
      </c>
      <c r="H58" t="str">
        <f t="shared" si="0"/>
        <v>14/2/2019</v>
      </c>
      <c r="I58" s="1">
        <v>43510</v>
      </c>
      <c r="K58" s="1"/>
    </row>
    <row r="59" spans="2:11" x14ac:dyDescent="0.25">
      <c r="B59" s="1" t="s">
        <v>177</v>
      </c>
      <c r="C59">
        <v>1</v>
      </c>
      <c r="D59">
        <v>22</v>
      </c>
      <c r="E59">
        <v>10193</v>
      </c>
      <c r="F59">
        <v>2019</v>
      </c>
      <c r="H59" t="str">
        <f t="shared" si="0"/>
        <v>22/1/2019</v>
      </c>
      <c r="I59" s="1">
        <v>43487</v>
      </c>
      <c r="K59" s="1"/>
    </row>
    <row r="60" spans="2:11" x14ac:dyDescent="0.25">
      <c r="B60" s="1" t="s">
        <v>179</v>
      </c>
      <c r="C60">
        <v>1</v>
      </c>
      <c r="D60">
        <v>28</v>
      </c>
      <c r="E60">
        <v>10132</v>
      </c>
      <c r="F60">
        <v>2019</v>
      </c>
      <c r="H60" t="str">
        <f t="shared" si="0"/>
        <v>28/1/2019</v>
      </c>
      <c r="I60" s="1">
        <v>43493</v>
      </c>
      <c r="K60" s="1"/>
    </row>
    <row r="61" spans="2:11" x14ac:dyDescent="0.25">
      <c r="B61" s="1">
        <v>43497</v>
      </c>
      <c r="C61">
        <v>1</v>
      </c>
      <c r="D61">
        <v>2</v>
      </c>
      <c r="E61">
        <v>10083</v>
      </c>
      <c r="F61">
        <v>2019</v>
      </c>
      <c r="H61" t="str">
        <f t="shared" si="0"/>
        <v>2/1/2019</v>
      </c>
      <c r="I61" s="1">
        <v>43467</v>
      </c>
      <c r="K61" s="1"/>
    </row>
    <row r="62" spans="2:11" x14ac:dyDescent="0.25">
      <c r="B62" s="1" t="s">
        <v>185</v>
      </c>
      <c r="C62">
        <v>1</v>
      </c>
      <c r="D62">
        <v>24</v>
      </c>
      <c r="E62">
        <v>10099</v>
      </c>
      <c r="F62">
        <v>2019</v>
      </c>
      <c r="H62" t="str">
        <f t="shared" si="0"/>
        <v>24/1/2019</v>
      </c>
      <c r="I62" s="1">
        <v>43489</v>
      </c>
      <c r="K62" s="1"/>
    </row>
    <row r="63" spans="2:11" x14ac:dyDescent="0.25">
      <c r="B63" s="1">
        <v>43801</v>
      </c>
      <c r="C63">
        <v>2</v>
      </c>
      <c r="D63">
        <v>12</v>
      </c>
      <c r="E63">
        <v>10212</v>
      </c>
      <c r="F63">
        <v>2019</v>
      </c>
      <c r="H63" t="str">
        <f t="shared" si="0"/>
        <v>12/2/2019</v>
      </c>
      <c r="I63" s="1">
        <v>43508</v>
      </c>
      <c r="K63" s="1"/>
    </row>
    <row r="64" spans="2:11" x14ac:dyDescent="0.25">
      <c r="B64" s="1" t="s">
        <v>68</v>
      </c>
      <c r="C64">
        <v>2</v>
      </c>
      <c r="D64">
        <v>25</v>
      </c>
      <c r="E64">
        <v>10056</v>
      </c>
      <c r="F64">
        <v>2019</v>
      </c>
      <c r="H64" t="str">
        <f t="shared" si="0"/>
        <v>25/2/2019</v>
      </c>
      <c r="I64" s="1">
        <v>43521</v>
      </c>
      <c r="K64" s="1"/>
    </row>
    <row r="65" spans="2:11" x14ac:dyDescent="0.25">
      <c r="B65" s="1" t="s">
        <v>109</v>
      </c>
      <c r="C65">
        <v>2</v>
      </c>
      <c r="D65">
        <v>27</v>
      </c>
      <c r="E65">
        <v>10143</v>
      </c>
      <c r="F65">
        <v>2019</v>
      </c>
      <c r="H65" t="str">
        <f t="shared" si="0"/>
        <v>27/2/2019</v>
      </c>
      <c r="I65" s="1">
        <v>43523</v>
      </c>
      <c r="K65" s="1"/>
    </row>
    <row r="66" spans="2:11" x14ac:dyDescent="0.25">
      <c r="B66" s="1" t="s">
        <v>190</v>
      </c>
      <c r="C66">
        <v>1</v>
      </c>
      <c r="D66">
        <v>31</v>
      </c>
      <c r="E66">
        <v>10311</v>
      </c>
      <c r="F66">
        <v>2019</v>
      </c>
      <c r="H66" t="str">
        <f t="shared" ref="H66:H129" si="1">D66&amp;"/"&amp;C66&amp;"/"&amp;F66</f>
        <v>31/1/2019</v>
      </c>
      <c r="I66" s="1">
        <v>43496</v>
      </c>
      <c r="K66" s="1"/>
    </row>
    <row r="67" spans="2:11" x14ac:dyDescent="0.25">
      <c r="B67" s="1">
        <v>42404</v>
      </c>
      <c r="C67">
        <v>4</v>
      </c>
      <c r="D67">
        <v>2</v>
      </c>
      <c r="E67">
        <v>10070</v>
      </c>
      <c r="F67">
        <v>2016</v>
      </c>
      <c r="H67" t="str">
        <f t="shared" si="1"/>
        <v>2/4/2016</v>
      </c>
      <c r="I67" s="1">
        <v>42462</v>
      </c>
      <c r="K67" s="1"/>
    </row>
    <row r="68" spans="2:11" x14ac:dyDescent="0.25">
      <c r="B68" s="1" t="s">
        <v>73</v>
      </c>
      <c r="C68">
        <v>1</v>
      </c>
      <c r="D68">
        <v>25</v>
      </c>
      <c r="E68">
        <v>10155</v>
      </c>
      <c r="F68">
        <v>2019</v>
      </c>
      <c r="H68" t="str">
        <f t="shared" si="1"/>
        <v>25/1/2019</v>
      </c>
      <c r="I68" s="1">
        <v>43490</v>
      </c>
      <c r="K68" s="1"/>
    </row>
    <row r="69" spans="2:11" x14ac:dyDescent="0.25">
      <c r="B69" s="1" t="s">
        <v>147</v>
      </c>
      <c r="C69">
        <v>1</v>
      </c>
      <c r="D69">
        <v>30</v>
      </c>
      <c r="E69">
        <v>10306</v>
      </c>
      <c r="F69">
        <v>2019</v>
      </c>
      <c r="H69" t="str">
        <f t="shared" si="1"/>
        <v>30/1/2019</v>
      </c>
      <c r="I69" s="1">
        <v>43495</v>
      </c>
      <c r="K69" s="1"/>
    </row>
    <row r="70" spans="2:11" x14ac:dyDescent="0.25">
      <c r="B70" s="1">
        <v>42160</v>
      </c>
      <c r="C70">
        <v>5</v>
      </c>
      <c r="D70">
        <v>6</v>
      </c>
      <c r="E70">
        <v>10100</v>
      </c>
      <c r="F70">
        <v>2015</v>
      </c>
      <c r="H70" t="str">
        <f t="shared" si="1"/>
        <v>6/5/2015</v>
      </c>
      <c r="I70" s="1">
        <v>42130</v>
      </c>
      <c r="K70" s="1"/>
    </row>
    <row r="71" spans="2:11" x14ac:dyDescent="0.25">
      <c r="B71" s="1" t="s">
        <v>190</v>
      </c>
      <c r="C71">
        <v>1</v>
      </c>
      <c r="D71">
        <v>31</v>
      </c>
      <c r="E71">
        <v>10310</v>
      </c>
      <c r="F71">
        <v>2019</v>
      </c>
      <c r="H71" t="str">
        <f t="shared" si="1"/>
        <v>31/1/2019</v>
      </c>
      <c r="I71" s="1">
        <v>43496</v>
      </c>
      <c r="K71" s="1"/>
    </row>
    <row r="72" spans="2:11" x14ac:dyDescent="0.25">
      <c r="B72" s="1" t="s">
        <v>202</v>
      </c>
      <c r="C72">
        <v>1</v>
      </c>
      <c r="D72">
        <v>23</v>
      </c>
      <c r="E72">
        <v>10197</v>
      </c>
      <c r="F72">
        <v>2019</v>
      </c>
      <c r="H72" t="str">
        <f t="shared" si="1"/>
        <v>23/1/2019</v>
      </c>
      <c r="I72" s="1">
        <v>43488</v>
      </c>
      <c r="K72" s="1"/>
    </row>
    <row r="73" spans="2:11" x14ac:dyDescent="0.25">
      <c r="B73" s="1" t="s">
        <v>155</v>
      </c>
      <c r="C73">
        <v>2</v>
      </c>
      <c r="D73">
        <v>19</v>
      </c>
      <c r="E73">
        <v>10276</v>
      </c>
      <c r="F73">
        <v>2019</v>
      </c>
      <c r="H73" t="str">
        <f t="shared" si="1"/>
        <v>19/2/2019</v>
      </c>
      <c r="I73" s="1">
        <v>43515</v>
      </c>
      <c r="K73" s="1"/>
    </row>
    <row r="74" spans="2:11" x14ac:dyDescent="0.25">
      <c r="B74" s="1" t="s">
        <v>206</v>
      </c>
      <c r="C74">
        <v>1</v>
      </c>
      <c r="D74">
        <v>29</v>
      </c>
      <c r="E74">
        <v>10304</v>
      </c>
      <c r="F74">
        <v>2019</v>
      </c>
      <c r="H74" t="str">
        <f t="shared" si="1"/>
        <v>29/1/2019</v>
      </c>
      <c r="I74" s="1">
        <v>43494</v>
      </c>
      <c r="K74" s="1"/>
    </row>
    <row r="75" spans="2:11" x14ac:dyDescent="0.25">
      <c r="B75" s="1" t="s">
        <v>208</v>
      </c>
      <c r="C75">
        <v>1</v>
      </c>
      <c r="D75">
        <v>18</v>
      </c>
      <c r="E75">
        <v>10284</v>
      </c>
      <c r="F75">
        <v>2019</v>
      </c>
      <c r="H75" t="str">
        <f t="shared" si="1"/>
        <v>18/1/2019</v>
      </c>
      <c r="I75" s="1">
        <v>43483</v>
      </c>
      <c r="K75" s="1"/>
    </row>
    <row r="76" spans="2:11" x14ac:dyDescent="0.25">
      <c r="B76" s="1" t="s">
        <v>155</v>
      </c>
      <c r="C76">
        <v>2</v>
      </c>
      <c r="D76">
        <v>19</v>
      </c>
      <c r="E76">
        <v>10207</v>
      </c>
      <c r="F76">
        <v>2019</v>
      </c>
      <c r="H76" t="str">
        <f t="shared" si="1"/>
        <v>19/2/2019</v>
      </c>
      <c r="I76" s="1">
        <v>43515</v>
      </c>
      <c r="K76" s="1"/>
    </row>
    <row r="77" spans="2:11" x14ac:dyDescent="0.25">
      <c r="B77" s="1" t="s">
        <v>68</v>
      </c>
      <c r="C77">
        <v>2</v>
      </c>
      <c r="D77">
        <v>25</v>
      </c>
      <c r="E77">
        <v>10133</v>
      </c>
      <c r="F77">
        <v>2019</v>
      </c>
      <c r="H77" t="str">
        <f t="shared" si="1"/>
        <v>25/2/2019</v>
      </c>
      <c r="I77" s="1">
        <v>43521</v>
      </c>
      <c r="K77" s="1"/>
    </row>
    <row r="78" spans="2:11" x14ac:dyDescent="0.25">
      <c r="B78" s="1">
        <v>43556</v>
      </c>
      <c r="C78">
        <v>1</v>
      </c>
      <c r="D78">
        <v>4</v>
      </c>
      <c r="E78">
        <v>10028</v>
      </c>
      <c r="F78">
        <v>2019</v>
      </c>
      <c r="H78" t="str">
        <f t="shared" si="1"/>
        <v>4/1/2019</v>
      </c>
      <c r="I78" s="1">
        <v>43469</v>
      </c>
      <c r="K78" s="1"/>
    </row>
    <row r="79" spans="2:11" x14ac:dyDescent="0.25">
      <c r="B79" s="1" t="s">
        <v>214</v>
      </c>
      <c r="C79">
        <v>1</v>
      </c>
      <c r="D79">
        <v>27</v>
      </c>
      <c r="E79">
        <v>10006</v>
      </c>
      <c r="F79">
        <v>2019</v>
      </c>
      <c r="H79" t="str">
        <f t="shared" si="1"/>
        <v>27/1/2019</v>
      </c>
      <c r="I79" s="1">
        <v>43492</v>
      </c>
      <c r="K79" s="1"/>
    </row>
    <row r="80" spans="2:11" x14ac:dyDescent="0.25">
      <c r="B80" s="1" t="s">
        <v>129</v>
      </c>
      <c r="C80">
        <v>1</v>
      </c>
      <c r="D80">
        <v>15</v>
      </c>
      <c r="E80">
        <v>10105</v>
      </c>
      <c r="F80">
        <v>2019</v>
      </c>
      <c r="H80" t="str">
        <f t="shared" si="1"/>
        <v>15/1/2019</v>
      </c>
      <c r="I80" s="1">
        <v>43480</v>
      </c>
      <c r="K80" s="1"/>
    </row>
    <row r="81" spans="2:11" x14ac:dyDescent="0.25">
      <c r="B81" s="1" t="s">
        <v>133</v>
      </c>
      <c r="C81">
        <v>1</v>
      </c>
      <c r="D81">
        <v>21</v>
      </c>
      <c r="E81">
        <v>10211</v>
      </c>
      <c r="F81">
        <v>2019</v>
      </c>
      <c r="H81" t="str">
        <f t="shared" si="1"/>
        <v>21/1/2019</v>
      </c>
      <c r="I81" s="1">
        <v>43486</v>
      </c>
      <c r="K81" s="1"/>
    </row>
    <row r="82" spans="2:11" x14ac:dyDescent="0.25">
      <c r="B82" s="1">
        <v>42982</v>
      </c>
      <c r="C82">
        <v>4</v>
      </c>
      <c r="D82">
        <v>9</v>
      </c>
      <c r="E82">
        <v>10064</v>
      </c>
      <c r="F82">
        <v>2017</v>
      </c>
      <c r="H82" t="str">
        <f t="shared" si="1"/>
        <v>9/4/2017</v>
      </c>
      <c r="I82" s="1">
        <v>42834</v>
      </c>
      <c r="K82" s="1"/>
    </row>
    <row r="83" spans="2:11" x14ac:dyDescent="0.25">
      <c r="B83" s="1" t="s">
        <v>220</v>
      </c>
      <c r="C83">
        <v>2</v>
      </c>
      <c r="D83">
        <v>13</v>
      </c>
      <c r="E83">
        <v>10247</v>
      </c>
      <c r="F83">
        <v>2019</v>
      </c>
      <c r="H83" t="str">
        <f t="shared" si="1"/>
        <v>13/2/2019</v>
      </c>
      <c r="I83" s="1">
        <v>43509</v>
      </c>
      <c r="K83" s="1"/>
    </row>
    <row r="84" spans="2:11" x14ac:dyDescent="0.25">
      <c r="B84" s="1">
        <v>43770</v>
      </c>
      <c r="C84">
        <v>1</v>
      </c>
      <c r="D84">
        <v>11</v>
      </c>
      <c r="E84">
        <v>10235</v>
      </c>
      <c r="F84">
        <v>2019</v>
      </c>
      <c r="H84" t="str">
        <f t="shared" si="1"/>
        <v>11/1/2019</v>
      </c>
      <c r="I84" s="1">
        <v>43476</v>
      </c>
      <c r="K84" s="1"/>
    </row>
    <row r="85" spans="2:11" x14ac:dyDescent="0.25">
      <c r="B85" s="1" t="s">
        <v>68</v>
      </c>
      <c r="C85">
        <v>2</v>
      </c>
      <c r="D85">
        <v>25</v>
      </c>
      <c r="E85">
        <v>10299</v>
      </c>
      <c r="F85">
        <v>2019</v>
      </c>
      <c r="H85" t="str">
        <f t="shared" si="1"/>
        <v>25/2/2019</v>
      </c>
      <c r="I85" s="1">
        <v>43521</v>
      </c>
      <c r="K85" s="1"/>
    </row>
    <row r="86" spans="2:11" x14ac:dyDescent="0.25">
      <c r="B86" s="1">
        <v>43438</v>
      </c>
      <c r="C86">
        <v>4</v>
      </c>
      <c r="D86">
        <v>12</v>
      </c>
      <c r="E86">
        <v>10280</v>
      </c>
      <c r="F86">
        <v>2018</v>
      </c>
      <c r="H86" t="str">
        <f t="shared" si="1"/>
        <v>12/4/2018</v>
      </c>
      <c r="I86" s="1">
        <v>43202</v>
      </c>
      <c r="K86" s="1"/>
    </row>
    <row r="87" spans="2:11" x14ac:dyDescent="0.25">
      <c r="B87" s="1" t="s">
        <v>226</v>
      </c>
      <c r="C87">
        <v>1</v>
      </c>
      <c r="D87">
        <v>15</v>
      </c>
      <c r="E87">
        <v>10296</v>
      </c>
      <c r="F87">
        <v>2017</v>
      </c>
      <c r="H87" t="str">
        <f t="shared" si="1"/>
        <v>15/1/2017</v>
      </c>
      <c r="I87" s="1">
        <v>42750</v>
      </c>
      <c r="K87" s="1"/>
    </row>
    <row r="88" spans="2:11" x14ac:dyDescent="0.25">
      <c r="B88" s="1">
        <v>41190</v>
      </c>
      <c r="C88">
        <v>8</v>
      </c>
      <c r="D88">
        <v>10</v>
      </c>
      <c r="E88">
        <v>10290</v>
      </c>
      <c r="F88">
        <v>2012</v>
      </c>
      <c r="H88" t="str">
        <f t="shared" si="1"/>
        <v>10/8/2012</v>
      </c>
      <c r="I88" s="1">
        <v>41131</v>
      </c>
      <c r="K88" s="1"/>
    </row>
    <row r="89" spans="2:11" x14ac:dyDescent="0.25">
      <c r="B89" s="1" t="s">
        <v>145</v>
      </c>
      <c r="C89">
        <v>2</v>
      </c>
      <c r="D89">
        <v>22</v>
      </c>
      <c r="E89">
        <v>10263</v>
      </c>
      <c r="F89">
        <v>2019</v>
      </c>
      <c r="H89" t="str">
        <f t="shared" si="1"/>
        <v>22/2/2019</v>
      </c>
      <c r="I89" s="1">
        <v>43518</v>
      </c>
      <c r="K89" s="1"/>
    </row>
    <row r="90" spans="2:11" x14ac:dyDescent="0.25">
      <c r="B90" s="1">
        <v>43647</v>
      </c>
      <c r="C90">
        <v>1</v>
      </c>
      <c r="D90">
        <v>7</v>
      </c>
      <c r="E90">
        <v>10136</v>
      </c>
      <c r="F90">
        <v>2019</v>
      </c>
      <c r="H90" t="str">
        <f t="shared" si="1"/>
        <v>7/1/2019</v>
      </c>
      <c r="I90" s="1">
        <v>43472</v>
      </c>
      <c r="K90" s="1"/>
    </row>
    <row r="91" spans="2:11" x14ac:dyDescent="0.25">
      <c r="B91" s="1">
        <v>42462</v>
      </c>
      <c r="C91">
        <v>2</v>
      </c>
      <c r="D91">
        <v>4</v>
      </c>
      <c r="E91">
        <v>10189</v>
      </c>
      <c r="F91">
        <v>2016</v>
      </c>
      <c r="H91" t="str">
        <f t="shared" si="1"/>
        <v>4/2/2016</v>
      </c>
      <c r="I91" s="1">
        <v>42404</v>
      </c>
      <c r="K91" s="1"/>
    </row>
    <row r="92" spans="2:11" x14ac:dyDescent="0.25">
      <c r="B92" s="1">
        <v>43525</v>
      </c>
      <c r="C92">
        <v>1</v>
      </c>
      <c r="D92">
        <v>3</v>
      </c>
      <c r="E92">
        <v>10308</v>
      </c>
      <c r="F92">
        <v>2019</v>
      </c>
      <c r="H92" t="str">
        <f t="shared" si="1"/>
        <v>3/1/2019</v>
      </c>
      <c r="I92" s="1">
        <v>43468</v>
      </c>
      <c r="K92" s="1"/>
    </row>
    <row r="93" spans="2:11" x14ac:dyDescent="0.25">
      <c r="B93" s="1">
        <v>43557</v>
      </c>
      <c r="C93">
        <v>2</v>
      </c>
      <c r="D93">
        <v>4</v>
      </c>
      <c r="E93">
        <v>10309</v>
      </c>
      <c r="F93">
        <v>2019</v>
      </c>
      <c r="H93" t="str">
        <f t="shared" si="1"/>
        <v>4/2/2019</v>
      </c>
      <c r="I93" s="1">
        <v>43500</v>
      </c>
      <c r="K93" s="1"/>
    </row>
    <row r="94" spans="2:11" x14ac:dyDescent="0.25">
      <c r="B94" s="1" t="s">
        <v>206</v>
      </c>
      <c r="C94">
        <v>1</v>
      </c>
      <c r="D94">
        <v>29</v>
      </c>
      <c r="E94">
        <v>10049</v>
      </c>
      <c r="F94">
        <v>2019</v>
      </c>
      <c r="H94" t="str">
        <f t="shared" si="1"/>
        <v>29/1/2019</v>
      </c>
      <c r="I94" s="1">
        <v>43494</v>
      </c>
      <c r="K94" s="1"/>
    </row>
    <row r="95" spans="2:11" x14ac:dyDescent="0.25">
      <c r="B95" s="1">
        <v>41398</v>
      </c>
      <c r="C95">
        <v>4</v>
      </c>
      <c r="D95">
        <v>5</v>
      </c>
      <c r="E95">
        <v>10093</v>
      </c>
      <c r="F95">
        <v>2013</v>
      </c>
      <c r="H95" t="str">
        <f t="shared" si="1"/>
        <v>5/4/2013</v>
      </c>
      <c r="I95" s="1">
        <v>41369</v>
      </c>
      <c r="K95" s="1"/>
    </row>
    <row r="96" spans="2:11" x14ac:dyDescent="0.25">
      <c r="B96" s="1">
        <v>41091</v>
      </c>
      <c r="C96">
        <v>1</v>
      </c>
      <c r="D96">
        <v>7</v>
      </c>
      <c r="E96">
        <v>10163</v>
      </c>
      <c r="F96">
        <v>2012</v>
      </c>
      <c r="H96" t="str">
        <f t="shared" si="1"/>
        <v>7/1/2012</v>
      </c>
      <c r="I96" s="1">
        <v>40915</v>
      </c>
      <c r="K96" s="1"/>
    </row>
    <row r="97" spans="2:11" x14ac:dyDescent="0.25">
      <c r="B97" s="1" t="s">
        <v>179</v>
      </c>
      <c r="C97">
        <v>1</v>
      </c>
      <c r="D97">
        <v>28</v>
      </c>
      <c r="E97">
        <v>10305</v>
      </c>
      <c r="F97">
        <v>2019</v>
      </c>
      <c r="H97" t="str">
        <f t="shared" si="1"/>
        <v>28/1/2019</v>
      </c>
      <c r="I97" s="1">
        <v>43493</v>
      </c>
      <c r="K97" s="1"/>
    </row>
    <row r="98" spans="2:11" x14ac:dyDescent="0.25">
      <c r="B98" s="1">
        <v>43647</v>
      </c>
      <c r="C98">
        <v>1</v>
      </c>
      <c r="D98">
        <v>7</v>
      </c>
      <c r="E98">
        <v>10015</v>
      </c>
      <c r="F98">
        <v>2019</v>
      </c>
      <c r="H98" t="str">
        <f t="shared" si="1"/>
        <v>7/1/2019</v>
      </c>
      <c r="I98" s="1">
        <v>43472</v>
      </c>
      <c r="K98" s="1"/>
    </row>
    <row r="99" spans="2:11" x14ac:dyDescent="0.25">
      <c r="B99" s="1">
        <v>43679</v>
      </c>
      <c r="C99">
        <v>2</v>
      </c>
      <c r="D99">
        <v>8</v>
      </c>
      <c r="E99">
        <v>10080</v>
      </c>
      <c r="F99">
        <v>2019</v>
      </c>
      <c r="H99" t="str">
        <f t="shared" si="1"/>
        <v>8/2/2019</v>
      </c>
      <c r="I99" s="1">
        <v>43504</v>
      </c>
      <c r="K99" s="1"/>
    </row>
    <row r="100" spans="2:11" x14ac:dyDescent="0.25">
      <c r="B100" s="1" t="s">
        <v>214</v>
      </c>
      <c r="C100">
        <v>1</v>
      </c>
      <c r="D100">
        <v>27</v>
      </c>
      <c r="E100">
        <v>10258</v>
      </c>
      <c r="F100">
        <v>2019</v>
      </c>
      <c r="H100" t="str">
        <f t="shared" si="1"/>
        <v>27/1/2019</v>
      </c>
      <c r="I100" s="1">
        <v>43492</v>
      </c>
      <c r="K100" s="1"/>
    </row>
    <row r="101" spans="2:11" x14ac:dyDescent="0.25">
      <c r="B101" s="1">
        <v>43467</v>
      </c>
      <c r="C101">
        <v>2</v>
      </c>
      <c r="D101">
        <v>1</v>
      </c>
      <c r="E101">
        <v>10273</v>
      </c>
      <c r="F101">
        <v>2019</v>
      </c>
      <c r="H101" t="str">
        <f t="shared" si="1"/>
        <v>1/2/2019</v>
      </c>
      <c r="I101" s="1">
        <v>43497</v>
      </c>
      <c r="K101" s="1"/>
    </row>
    <row r="102" spans="2:11" x14ac:dyDescent="0.25">
      <c r="B102" s="1" t="s">
        <v>77</v>
      </c>
      <c r="C102">
        <v>2</v>
      </c>
      <c r="D102">
        <v>18</v>
      </c>
      <c r="E102">
        <v>10111</v>
      </c>
      <c r="F102">
        <v>2019</v>
      </c>
      <c r="H102" t="str">
        <f t="shared" si="1"/>
        <v>18/2/2019</v>
      </c>
      <c r="I102" s="1">
        <v>43514</v>
      </c>
      <c r="K102" s="1"/>
    </row>
    <row r="103" spans="2:11" x14ac:dyDescent="0.25">
      <c r="B103" s="1" t="s">
        <v>248</v>
      </c>
      <c r="C103">
        <v>2</v>
      </c>
      <c r="D103">
        <v>26</v>
      </c>
      <c r="E103">
        <v>10257</v>
      </c>
      <c r="F103">
        <v>2019</v>
      </c>
      <c r="H103" t="str">
        <f t="shared" si="1"/>
        <v>26/2/2019</v>
      </c>
      <c r="I103" s="1">
        <v>43522</v>
      </c>
      <c r="K103" s="1"/>
    </row>
    <row r="104" spans="2:11" x14ac:dyDescent="0.25">
      <c r="B104" s="1" t="s">
        <v>250</v>
      </c>
      <c r="C104">
        <v>1</v>
      </c>
      <c r="D104">
        <v>16</v>
      </c>
      <c r="E104">
        <v>10159</v>
      </c>
      <c r="F104">
        <v>2019</v>
      </c>
      <c r="H104" t="str">
        <f t="shared" si="1"/>
        <v>16/1/2019</v>
      </c>
      <c r="I104" s="1">
        <v>43481</v>
      </c>
      <c r="K104" s="1"/>
    </row>
    <row r="105" spans="2:11" x14ac:dyDescent="0.25">
      <c r="B105" s="1" t="s">
        <v>252</v>
      </c>
      <c r="C105">
        <v>4</v>
      </c>
      <c r="D105">
        <v>29</v>
      </c>
      <c r="E105">
        <v>10122</v>
      </c>
      <c r="F105">
        <v>2016</v>
      </c>
      <c r="H105" t="str">
        <f t="shared" si="1"/>
        <v>29/4/2016</v>
      </c>
      <c r="I105" s="1">
        <v>42489</v>
      </c>
      <c r="K105" s="1"/>
    </row>
    <row r="106" spans="2:11" x14ac:dyDescent="0.25">
      <c r="B106" s="1" t="s">
        <v>254</v>
      </c>
      <c r="C106">
        <v>1</v>
      </c>
      <c r="D106">
        <v>15</v>
      </c>
      <c r="E106">
        <v>10142</v>
      </c>
      <c r="F106">
        <v>2014</v>
      </c>
      <c r="H106" t="str">
        <f t="shared" si="1"/>
        <v>15/1/2014</v>
      </c>
      <c r="I106" s="1">
        <v>41654</v>
      </c>
      <c r="K106" s="1"/>
    </row>
    <row r="107" spans="2:11" x14ac:dyDescent="0.25">
      <c r="B107" s="1" t="s">
        <v>256</v>
      </c>
      <c r="C107">
        <v>1</v>
      </c>
      <c r="D107">
        <v>20</v>
      </c>
      <c r="E107">
        <v>10283</v>
      </c>
      <c r="F107">
        <v>2015</v>
      </c>
      <c r="H107" t="str">
        <f t="shared" si="1"/>
        <v>20/1/2015</v>
      </c>
      <c r="I107" s="1">
        <v>42024</v>
      </c>
      <c r="K107" s="1"/>
    </row>
    <row r="108" spans="2:11" x14ac:dyDescent="0.25">
      <c r="B108" s="1">
        <v>43648</v>
      </c>
      <c r="C108">
        <v>2</v>
      </c>
      <c r="D108">
        <v>7</v>
      </c>
      <c r="E108">
        <v>10018</v>
      </c>
      <c r="F108">
        <v>2019</v>
      </c>
      <c r="H108" t="str">
        <f t="shared" si="1"/>
        <v>7/2/2019</v>
      </c>
      <c r="I108" s="1">
        <v>43503</v>
      </c>
      <c r="K108" s="1"/>
    </row>
    <row r="109" spans="2:11" x14ac:dyDescent="0.25">
      <c r="B109" s="1" t="s">
        <v>73</v>
      </c>
      <c r="C109">
        <v>1</v>
      </c>
      <c r="D109">
        <v>25</v>
      </c>
      <c r="E109">
        <v>10255</v>
      </c>
      <c r="F109">
        <v>2019</v>
      </c>
      <c r="H109" t="str">
        <f t="shared" si="1"/>
        <v>25/1/2019</v>
      </c>
      <c r="I109" s="1">
        <v>43490</v>
      </c>
      <c r="K109" s="1"/>
    </row>
    <row r="110" spans="2:11" x14ac:dyDescent="0.25">
      <c r="B110" s="1" t="s">
        <v>256</v>
      </c>
      <c r="C110">
        <v>1</v>
      </c>
      <c r="D110">
        <v>20</v>
      </c>
      <c r="E110">
        <v>10246</v>
      </c>
      <c r="F110">
        <v>2015</v>
      </c>
      <c r="H110" t="str">
        <f t="shared" si="1"/>
        <v>20/1/2015</v>
      </c>
      <c r="I110" s="1">
        <v>42024</v>
      </c>
      <c r="K110" s="1"/>
    </row>
    <row r="111" spans="2:11" x14ac:dyDescent="0.25">
      <c r="B111" s="1">
        <v>43739</v>
      </c>
      <c r="C111">
        <v>1</v>
      </c>
      <c r="D111">
        <v>10</v>
      </c>
      <c r="E111">
        <v>10228</v>
      </c>
      <c r="F111">
        <v>2019</v>
      </c>
      <c r="H111" t="str">
        <f t="shared" si="1"/>
        <v>10/1/2019</v>
      </c>
      <c r="I111" s="1">
        <v>43475</v>
      </c>
      <c r="K111" s="1"/>
    </row>
    <row r="112" spans="2:11" x14ac:dyDescent="0.25">
      <c r="B112" s="1" t="s">
        <v>77</v>
      </c>
      <c r="C112">
        <v>2</v>
      </c>
      <c r="D112">
        <v>18</v>
      </c>
      <c r="E112">
        <v>10243</v>
      </c>
      <c r="F112">
        <v>2019</v>
      </c>
      <c r="H112" t="str">
        <f t="shared" si="1"/>
        <v>18/2/2019</v>
      </c>
      <c r="I112" s="1">
        <v>43514</v>
      </c>
      <c r="K112" s="1"/>
    </row>
    <row r="113" spans="2:11" x14ac:dyDescent="0.25">
      <c r="B113" s="1" t="s">
        <v>77</v>
      </c>
      <c r="C113">
        <v>2</v>
      </c>
      <c r="D113">
        <v>18</v>
      </c>
      <c r="E113">
        <v>10031</v>
      </c>
      <c r="F113">
        <v>2019</v>
      </c>
      <c r="H113" t="str">
        <f t="shared" si="1"/>
        <v>18/2/2019</v>
      </c>
      <c r="I113" s="1">
        <v>43514</v>
      </c>
      <c r="K113" s="1"/>
    </row>
    <row r="114" spans="2:11" x14ac:dyDescent="0.25">
      <c r="B114" s="1">
        <v>40697</v>
      </c>
      <c r="C114">
        <v>3</v>
      </c>
      <c r="D114">
        <v>6</v>
      </c>
      <c r="E114">
        <v>10300</v>
      </c>
      <c r="F114">
        <v>2011</v>
      </c>
      <c r="H114" t="str">
        <f t="shared" si="1"/>
        <v>6/3/2011</v>
      </c>
      <c r="I114" s="1">
        <v>40608</v>
      </c>
      <c r="K114" s="1"/>
    </row>
    <row r="115" spans="2:11" x14ac:dyDescent="0.25">
      <c r="B115" s="1" t="s">
        <v>179</v>
      </c>
      <c r="C115">
        <v>1</v>
      </c>
      <c r="D115">
        <v>28</v>
      </c>
      <c r="E115">
        <v>10101</v>
      </c>
      <c r="F115">
        <v>2019</v>
      </c>
      <c r="H115" t="str">
        <f t="shared" si="1"/>
        <v>28/1/2019</v>
      </c>
      <c r="I115" s="1">
        <v>43493</v>
      </c>
      <c r="K115" s="1"/>
    </row>
    <row r="116" spans="2:11" x14ac:dyDescent="0.25">
      <c r="B116" s="1">
        <v>43648</v>
      </c>
      <c r="C116">
        <v>2</v>
      </c>
      <c r="D116">
        <v>7</v>
      </c>
      <c r="E116">
        <v>10237</v>
      </c>
      <c r="F116">
        <v>2019</v>
      </c>
      <c r="H116" t="str">
        <f t="shared" si="1"/>
        <v>7/2/2019</v>
      </c>
      <c r="I116" s="1">
        <v>43503</v>
      </c>
      <c r="K116" s="1"/>
    </row>
    <row r="117" spans="2:11" x14ac:dyDescent="0.25">
      <c r="B117" s="1" t="s">
        <v>97</v>
      </c>
      <c r="C117">
        <v>1</v>
      </c>
      <c r="D117">
        <v>14</v>
      </c>
      <c r="E117">
        <v>10051</v>
      </c>
      <c r="F117">
        <v>2019</v>
      </c>
      <c r="H117" t="str">
        <f t="shared" si="1"/>
        <v>14/1/2019</v>
      </c>
      <c r="I117" s="1">
        <v>43479</v>
      </c>
      <c r="K117" s="1"/>
    </row>
    <row r="118" spans="2:11" x14ac:dyDescent="0.25">
      <c r="B118" s="1" t="s">
        <v>139</v>
      </c>
      <c r="C118">
        <v>2</v>
      </c>
      <c r="D118">
        <v>21</v>
      </c>
      <c r="E118">
        <v>10218</v>
      </c>
      <c r="F118">
        <v>2019</v>
      </c>
      <c r="H118" t="str">
        <f t="shared" si="1"/>
        <v>21/2/2019</v>
      </c>
      <c r="I118" s="1">
        <v>43517</v>
      </c>
      <c r="K118" s="1"/>
    </row>
    <row r="119" spans="2:11" x14ac:dyDescent="0.25">
      <c r="B119" s="1" t="s">
        <v>270</v>
      </c>
      <c r="C119">
        <v>2</v>
      </c>
      <c r="D119">
        <v>15</v>
      </c>
      <c r="E119">
        <v>10256</v>
      </c>
      <c r="F119">
        <v>2019</v>
      </c>
      <c r="H119" t="str">
        <f t="shared" si="1"/>
        <v>15/2/2019</v>
      </c>
      <c r="I119" s="1">
        <v>43511</v>
      </c>
      <c r="K119" s="1"/>
    </row>
    <row r="120" spans="2:11" x14ac:dyDescent="0.25">
      <c r="B120" s="1">
        <v>43556</v>
      </c>
      <c r="C120">
        <v>1</v>
      </c>
      <c r="D120">
        <v>4</v>
      </c>
      <c r="E120">
        <v>10098</v>
      </c>
      <c r="F120">
        <v>2019</v>
      </c>
      <c r="H120" t="str">
        <f t="shared" si="1"/>
        <v>4/1/2019</v>
      </c>
      <c r="I120" s="1">
        <v>43469</v>
      </c>
      <c r="K120" s="1"/>
    </row>
    <row r="121" spans="2:11" x14ac:dyDescent="0.25">
      <c r="B121" s="1">
        <v>41339</v>
      </c>
      <c r="C121">
        <v>6</v>
      </c>
      <c r="D121">
        <v>3</v>
      </c>
      <c r="E121">
        <v>10059</v>
      </c>
      <c r="F121">
        <v>2013</v>
      </c>
      <c r="H121" t="str">
        <f t="shared" si="1"/>
        <v>3/6/2013</v>
      </c>
      <c r="I121" s="1">
        <v>41428</v>
      </c>
      <c r="K121" s="1"/>
    </row>
    <row r="122" spans="2:11" x14ac:dyDescent="0.25">
      <c r="B122" s="1" t="s">
        <v>179</v>
      </c>
      <c r="C122">
        <v>1</v>
      </c>
      <c r="D122">
        <v>28</v>
      </c>
      <c r="E122">
        <v>10234</v>
      </c>
      <c r="F122">
        <v>2019</v>
      </c>
      <c r="H122" t="str">
        <f t="shared" si="1"/>
        <v>28/1/2019</v>
      </c>
      <c r="I122" s="1">
        <v>43493</v>
      </c>
      <c r="K122" s="1"/>
    </row>
    <row r="123" spans="2:11" x14ac:dyDescent="0.25">
      <c r="B123" s="1">
        <v>41276</v>
      </c>
      <c r="C123">
        <v>2</v>
      </c>
      <c r="D123">
        <v>1</v>
      </c>
      <c r="E123">
        <v>10109</v>
      </c>
      <c r="F123">
        <v>2013</v>
      </c>
      <c r="H123" t="str">
        <f t="shared" si="1"/>
        <v>1/2/2013</v>
      </c>
      <c r="I123" s="1">
        <v>41306</v>
      </c>
      <c r="K123" s="1"/>
    </row>
    <row r="124" spans="2:11" x14ac:dyDescent="0.25">
      <c r="B124" s="1" t="s">
        <v>145</v>
      </c>
      <c r="C124">
        <v>2</v>
      </c>
      <c r="D124">
        <v>22</v>
      </c>
      <c r="E124">
        <v>10125</v>
      </c>
      <c r="F124">
        <v>2019</v>
      </c>
      <c r="H124" t="str">
        <f t="shared" si="1"/>
        <v>22/2/2019</v>
      </c>
      <c r="I124" s="1">
        <v>43518</v>
      </c>
      <c r="K124" s="1"/>
    </row>
    <row r="125" spans="2:11" x14ac:dyDescent="0.25">
      <c r="B125" s="1">
        <v>43678</v>
      </c>
      <c r="C125">
        <v>1</v>
      </c>
      <c r="D125">
        <v>8</v>
      </c>
      <c r="E125">
        <v>10074</v>
      </c>
      <c r="F125">
        <v>2019</v>
      </c>
      <c r="H125" t="str">
        <f t="shared" si="1"/>
        <v>8/1/2019</v>
      </c>
      <c r="I125" s="1">
        <v>43473</v>
      </c>
      <c r="K125" s="1"/>
    </row>
    <row r="126" spans="2:11" x14ac:dyDescent="0.25">
      <c r="B126" s="1">
        <v>42040</v>
      </c>
      <c r="C126">
        <v>5</v>
      </c>
      <c r="D126">
        <v>2</v>
      </c>
      <c r="E126">
        <v>10097</v>
      </c>
      <c r="F126">
        <v>2015</v>
      </c>
      <c r="H126" t="str">
        <f t="shared" si="1"/>
        <v>2/5/2015</v>
      </c>
      <c r="I126" s="1">
        <v>42126</v>
      </c>
      <c r="K126" s="1"/>
    </row>
    <row r="127" spans="2:11" x14ac:dyDescent="0.25">
      <c r="B127" s="1" t="s">
        <v>270</v>
      </c>
      <c r="C127">
        <v>2</v>
      </c>
      <c r="D127">
        <v>15</v>
      </c>
      <c r="E127">
        <v>10007</v>
      </c>
      <c r="F127">
        <v>2019</v>
      </c>
      <c r="H127" t="str">
        <f t="shared" si="1"/>
        <v>15/2/2019</v>
      </c>
      <c r="I127" s="1">
        <v>43511</v>
      </c>
      <c r="K127" s="1"/>
    </row>
    <row r="128" spans="2:11" x14ac:dyDescent="0.25">
      <c r="B128" s="1">
        <v>43771</v>
      </c>
      <c r="C128">
        <v>2</v>
      </c>
      <c r="D128">
        <v>11</v>
      </c>
      <c r="E128">
        <v>10129</v>
      </c>
      <c r="F128">
        <v>2019</v>
      </c>
      <c r="H128" t="str">
        <f t="shared" si="1"/>
        <v>11/2/2019</v>
      </c>
      <c r="I128" s="1">
        <v>43507</v>
      </c>
      <c r="K128" s="1"/>
    </row>
    <row r="129" spans="2:11" x14ac:dyDescent="0.25">
      <c r="B129" s="1" t="s">
        <v>281</v>
      </c>
      <c r="C129">
        <v>1</v>
      </c>
      <c r="D129">
        <v>30</v>
      </c>
      <c r="E129">
        <v>10075</v>
      </c>
      <c r="F129">
        <v>2013</v>
      </c>
      <c r="H129" t="str">
        <f t="shared" si="1"/>
        <v>30/1/2013</v>
      </c>
      <c r="I129" s="1">
        <v>41304</v>
      </c>
      <c r="K129" s="1"/>
    </row>
    <row r="130" spans="2:11" x14ac:dyDescent="0.25">
      <c r="B130" s="1" t="s">
        <v>147</v>
      </c>
      <c r="C130">
        <v>1</v>
      </c>
      <c r="D130">
        <v>30</v>
      </c>
      <c r="E130">
        <v>10167</v>
      </c>
      <c r="F130">
        <v>2019</v>
      </c>
      <c r="H130" t="str">
        <f t="shared" ref="H130:H193" si="2">D130&amp;"/"&amp;C130&amp;"/"&amp;F130</f>
        <v>30/1/2019</v>
      </c>
      <c r="I130" s="1">
        <v>43495</v>
      </c>
      <c r="K130" s="1"/>
    </row>
    <row r="131" spans="2:11" x14ac:dyDescent="0.25">
      <c r="B131" s="1">
        <v>41032</v>
      </c>
      <c r="C131">
        <v>3</v>
      </c>
      <c r="D131">
        <v>5</v>
      </c>
      <c r="E131">
        <v>10195</v>
      </c>
      <c r="F131">
        <v>2012</v>
      </c>
      <c r="H131" t="str">
        <f t="shared" si="2"/>
        <v>5/3/2012</v>
      </c>
      <c r="I131" s="1">
        <v>40973</v>
      </c>
      <c r="K131" s="1"/>
    </row>
    <row r="132" spans="2:11" x14ac:dyDescent="0.25">
      <c r="B132" s="1">
        <v>43525</v>
      </c>
      <c r="C132">
        <v>1</v>
      </c>
      <c r="D132">
        <v>3</v>
      </c>
      <c r="E132">
        <v>10112</v>
      </c>
      <c r="F132">
        <v>2019</v>
      </c>
      <c r="H132" t="str">
        <f t="shared" si="2"/>
        <v>3/1/2019</v>
      </c>
      <c r="I132" s="1">
        <v>43468</v>
      </c>
      <c r="K132" s="1"/>
    </row>
    <row r="133" spans="2:11" x14ac:dyDescent="0.25">
      <c r="B133" s="1" t="s">
        <v>133</v>
      </c>
      <c r="C133">
        <v>1</v>
      </c>
      <c r="D133">
        <v>21</v>
      </c>
      <c r="E133">
        <v>10272</v>
      </c>
      <c r="F133">
        <v>2019</v>
      </c>
      <c r="H133" t="str">
        <f t="shared" si="2"/>
        <v>21/1/2019</v>
      </c>
      <c r="I133" s="1">
        <v>43486</v>
      </c>
      <c r="K133" s="1"/>
    </row>
    <row r="134" spans="2:11" x14ac:dyDescent="0.25">
      <c r="B134" s="1" t="s">
        <v>289</v>
      </c>
      <c r="C134">
        <v>4</v>
      </c>
      <c r="D134">
        <v>15</v>
      </c>
      <c r="E134">
        <v>10182</v>
      </c>
      <c r="F134">
        <v>2015</v>
      </c>
      <c r="H134" t="str">
        <f t="shared" si="2"/>
        <v>15/4/2015</v>
      </c>
      <c r="I134" s="1">
        <v>42109</v>
      </c>
      <c r="K134" s="1"/>
    </row>
    <row r="135" spans="2:11" x14ac:dyDescent="0.25">
      <c r="B135" s="1">
        <v>43647</v>
      </c>
      <c r="C135">
        <v>1</v>
      </c>
      <c r="D135">
        <v>7</v>
      </c>
      <c r="E135">
        <v>10248</v>
      </c>
      <c r="F135">
        <v>2019</v>
      </c>
      <c r="H135" t="str">
        <f t="shared" si="2"/>
        <v>7/1/2019</v>
      </c>
      <c r="I135" s="1">
        <v>43472</v>
      </c>
      <c r="K135" s="1"/>
    </row>
    <row r="136" spans="2:11" x14ac:dyDescent="0.25">
      <c r="B136" s="1" t="s">
        <v>208</v>
      </c>
      <c r="C136">
        <v>1</v>
      </c>
      <c r="D136">
        <v>18</v>
      </c>
      <c r="E136">
        <v>10201</v>
      </c>
      <c r="F136">
        <v>2019</v>
      </c>
      <c r="H136" t="str">
        <f t="shared" si="2"/>
        <v>18/1/2019</v>
      </c>
      <c r="I136" s="1">
        <v>43483</v>
      </c>
      <c r="K136" s="1"/>
    </row>
    <row r="137" spans="2:11" x14ac:dyDescent="0.25">
      <c r="B137" s="1" t="s">
        <v>90</v>
      </c>
      <c r="C137">
        <v>2</v>
      </c>
      <c r="D137">
        <v>14</v>
      </c>
      <c r="E137">
        <v>10214</v>
      </c>
      <c r="F137">
        <v>2019</v>
      </c>
      <c r="H137" t="str">
        <f t="shared" si="2"/>
        <v>14/2/2019</v>
      </c>
      <c r="I137" s="1">
        <v>43510</v>
      </c>
      <c r="K137" s="1"/>
    </row>
    <row r="138" spans="2:11" x14ac:dyDescent="0.25">
      <c r="B138" s="1">
        <v>41276</v>
      </c>
      <c r="C138">
        <v>2</v>
      </c>
      <c r="D138">
        <v>1</v>
      </c>
      <c r="E138">
        <v>10160</v>
      </c>
      <c r="F138">
        <v>2013</v>
      </c>
      <c r="H138" t="str">
        <f t="shared" si="2"/>
        <v>1/2/2013</v>
      </c>
      <c r="I138" s="1">
        <v>41306</v>
      </c>
      <c r="K138" s="1"/>
    </row>
    <row r="139" spans="2:11" x14ac:dyDescent="0.25">
      <c r="B139" s="1">
        <v>41247</v>
      </c>
      <c r="C139">
        <v>4</v>
      </c>
      <c r="D139">
        <v>12</v>
      </c>
      <c r="E139">
        <v>10289</v>
      </c>
      <c r="F139">
        <v>2012</v>
      </c>
      <c r="H139" t="str">
        <f t="shared" si="2"/>
        <v>12/4/2012</v>
      </c>
      <c r="I139" s="1">
        <v>41011</v>
      </c>
      <c r="K139" s="1"/>
    </row>
    <row r="140" spans="2:11" x14ac:dyDescent="0.25">
      <c r="B140" s="1" t="s">
        <v>97</v>
      </c>
      <c r="C140">
        <v>1</v>
      </c>
      <c r="D140">
        <v>14</v>
      </c>
      <c r="E140">
        <v>10139</v>
      </c>
      <c r="F140">
        <v>2019</v>
      </c>
      <c r="H140" t="str">
        <f t="shared" si="2"/>
        <v>14/1/2019</v>
      </c>
      <c r="I140" s="1">
        <v>43479</v>
      </c>
      <c r="K140" s="1"/>
    </row>
    <row r="141" spans="2:11" x14ac:dyDescent="0.25">
      <c r="B141" s="1" t="s">
        <v>33</v>
      </c>
      <c r="C141">
        <v>1</v>
      </c>
      <c r="D141">
        <v>17</v>
      </c>
      <c r="E141">
        <v>10227</v>
      </c>
      <c r="F141">
        <v>2019</v>
      </c>
      <c r="H141" t="str">
        <f t="shared" si="2"/>
        <v>17/1/2019</v>
      </c>
      <c r="I141" s="1">
        <v>43482</v>
      </c>
      <c r="K141" s="1"/>
    </row>
    <row r="142" spans="2:11" x14ac:dyDescent="0.25">
      <c r="B142" s="1" t="s">
        <v>145</v>
      </c>
      <c r="C142">
        <v>2</v>
      </c>
      <c r="D142">
        <v>22</v>
      </c>
      <c r="E142">
        <v>10236</v>
      </c>
      <c r="F142">
        <v>2019</v>
      </c>
      <c r="H142" t="str">
        <f t="shared" si="2"/>
        <v>22/2/2019</v>
      </c>
      <c r="I142" s="1">
        <v>43518</v>
      </c>
      <c r="K142" s="1"/>
    </row>
    <row r="143" spans="2:11" x14ac:dyDescent="0.25">
      <c r="B143" s="1" t="s">
        <v>68</v>
      </c>
      <c r="C143">
        <v>2</v>
      </c>
      <c r="D143">
        <v>25</v>
      </c>
      <c r="E143">
        <v>10009</v>
      </c>
      <c r="F143">
        <v>2019</v>
      </c>
      <c r="H143" t="str">
        <f t="shared" si="2"/>
        <v>25/2/2019</v>
      </c>
      <c r="I143" s="1">
        <v>43521</v>
      </c>
      <c r="K143" s="1"/>
    </row>
    <row r="144" spans="2:11" x14ac:dyDescent="0.25">
      <c r="B144" s="1" t="s">
        <v>133</v>
      </c>
      <c r="C144">
        <v>1</v>
      </c>
      <c r="D144">
        <v>21</v>
      </c>
      <c r="E144">
        <v>10060</v>
      </c>
      <c r="F144">
        <v>2019</v>
      </c>
      <c r="H144" t="str">
        <f t="shared" si="2"/>
        <v>21/1/2019</v>
      </c>
      <c r="I144" s="1">
        <v>43486</v>
      </c>
      <c r="K144" s="1"/>
    </row>
    <row r="145" spans="2:11" x14ac:dyDescent="0.25">
      <c r="B145" s="1" t="s">
        <v>301</v>
      </c>
      <c r="C145">
        <v>2</v>
      </c>
      <c r="D145">
        <v>14</v>
      </c>
      <c r="E145">
        <v>10034</v>
      </c>
      <c r="F145">
        <v>2018</v>
      </c>
      <c r="H145" t="str">
        <f t="shared" si="2"/>
        <v>14/2/2018</v>
      </c>
      <c r="I145" s="1">
        <v>43145</v>
      </c>
      <c r="K145" s="1"/>
    </row>
    <row r="146" spans="2:11" x14ac:dyDescent="0.25">
      <c r="B146" s="1">
        <v>43771</v>
      </c>
      <c r="C146">
        <v>2</v>
      </c>
      <c r="D146">
        <v>11</v>
      </c>
      <c r="E146">
        <v>10156</v>
      </c>
      <c r="F146">
        <v>2019</v>
      </c>
      <c r="H146" t="str">
        <f t="shared" si="2"/>
        <v>11/2/2019</v>
      </c>
      <c r="I146" s="1">
        <v>43507</v>
      </c>
      <c r="K146" s="1"/>
    </row>
    <row r="147" spans="2:11" x14ac:dyDescent="0.25">
      <c r="B147" s="1">
        <v>43770</v>
      </c>
      <c r="C147">
        <v>1</v>
      </c>
      <c r="D147">
        <v>11</v>
      </c>
      <c r="E147">
        <v>10036</v>
      </c>
      <c r="F147">
        <v>2019</v>
      </c>
      <c r="H147" t="str">
        <f t="shared" si="2"/>
        <v>11/1/2019</v>
      </c>
      <c r="I147" s="1">
        <v>43476</v>
      </c>
      <c r="K147" s="1"/>
    </row>
    <row r="148" spans="2:11" x14ac:dyDescent="0.25">
      <c r="B148" s="1">
        <v>42431</v>
      </c>
      <c r="C148">
        <v>2</v>
      </c>
      <c r="D148">
        <v>3</v>
      </c>
      <c r="E148">
        <v>10138</v>
      </c>
      <c r="F148">
        <v>2016</v>
      </c>
      <c r="H148" t="str">
        <f t="shared" si="2"/>
        <v>3/2/2016</v>
      </c>
      <c r="I148" s="1">
        <v>42403</v>
      </c>
      <c r="K148" s="1"/>
    </row>
    <row r="149" spans="2:11" x14ac:dyDescent="0.25">
      <c r="B149" s="1" t="s">
        <v>307</v>
      </c>
      <c r="C149">
        <v>3</v>
      </c>
      <c r="D149">
        <v>30</v>
      </c>
      <c r="E149">
        <v>10244</v>
      </c>
      <c r="F149">
        <v>2013</v>
      </c>
      <c r="H149" t="str">
        <f t="shared" si="2"/>
        <v>30/3/2013</v>
      </c>
      <c r="I149" s="1">
        <v>41363</v>
      </c>
      <c r="K149" s="1"/>
    </row>
    <row r="150" spans="2:11" x14ac:dyDescent="0.25">
      <c r="B150" s="1" t="s">
        <v>202</v>
      </c>
      <c r="C150">
        <v>1</v>
      </c>
      <c r="D150">
        <v>23</v>
      </c>
      <c r="E150">
        <v>10192</v>
      </c>
      <c r="F150">
        <v>2019</v>
      </c>
      <c r="H150" t="str">
        <f t="shared" si="2"/>
        <v>23/1/2019</v>
      </c>
      <c r="I150" s="1">
        <v>43488</v>
      </c>
      <c r="K150" s="1"/>
    </row>
    <row r="151" spans="2:11" x14ac:dyDescent="0.25">
      <c r="B151" s="1" t="s">
        <v>177</v>
      </c>
      <c r="C151">
        <v>1</v>
      </c>
      <c r="D151">
        <v>22</v>
      </c>
      <c r="E151">
        <v>10231</v>
      </c>
      <c r="F151">
        <v>2019</v>
      </c>
      <c r="H151" t="str">
        <f t="shared" si="2"/>
        <v>22/1/2019</v>
      </c>
      <c r="I151" s="1">
        <v>43487</v>
      </c>
      <c r="K151" s="1"/>
    </row>
    <row r="152" spans="2:11" x14ac:dyDescent="0.25">
      <c r="B152" s="1" t="s">
        <v>33</v>
      </c>
      <c r="C152">
        <v>1</v>
      </c>
      <c r="D152">
        <v>17</v>
      </c>
      <c r="E152">
        <v>10089</v>
      </c>
      <c r="F152">
        <v>2019</v>
      </c>
      <c r="H152" t="str">
        <f t="shared" si="2"/>
        <v>17/1/2019</v>
      </c>
      <c r="I152" s="1">
        <v>43482</v>
      </c>
      <c r="K152" s="1"/>
    </row>
    <row r="153" spans="2:11" x14ac:dyDescent="0.25">
      <c r="B153" s="1">
        <v>42007</v>
      </c>
      <c r="C153">
        <v>3</v>
      </c>
      <c r="D153">
        <v>1</v>
      </c>
      <c r="E153">
        <v>10166</v>
      </c>
      <c r="F153">
        <v>2015</v>
      </c>
      <c r="H153" t="str">
        <f t="shared" si="2"/>
        <v>1/3/2015</v>
      </c>
      <c r="I153" s="1">
        <v>42064</v>
      </c>
      <c r="K153" s="1"/>
    </row>
    <row r="154" spans="2:11" x14ac:dyDescent="0.25">
      <c r="B154" s="1" t="s">
        <v>281</v>
      </c>
      <c r="C154">
        <v>1</v>
      </c>
      <c r="D154">
        <v>30</v>
      </c>
      <c r="E154">
        <v>10170</v>
      </c>
      <c r="F154">
        <v>2013</v>
      </c>
      <c r="H154" t="str">
        <f t="shared" si="2"/>
        <v>30/1/2013</v>
      </c>
      <c r="I154" s="1">
        <v>41304</v>
      </c>
      <c r="K154" s="1"/>
    </row>
    <row r="155" spans="2:11" x14ac:dyDescent="0.25">
      <c r="B155" s="1">
        <v>43618</v>
      </c>
      <c r="C155">
        <v>2</v>
      </c>
      <c r="D155">
        <v>6</v>
      </c>
      <c r="E155">
        <v>10208</v>
      </c>
      <c r="F155">
        <v>2019</v>
      </c>
      <c r="H155" t="str">
        <f t="shared" si="2"/>
        <v>6/2/2019</v>
      </c>
      <c r="I155" s="1">
        <v>43502</v>
      </c>
      <c r="K155" s="1"/>
    </row>
    <row r="156" spans="2:11" x14ac:dyDescent="0.25">
      <c r="B156" s="1" t="s">
        <v>133</v>
      </c>
      <c r="C156">
        <v>1</v>
      </c>
      <c r="D156">
        <v>21</v>
      </c>
      <c r="E156">
        <v>10176</v>
      </c>
      <c r="F156">
        <v>2019</v>
      </c>
      <c r="H156" t="str">
        <f t="shared" si="2"/>
        <v>21/1/2019</v>
      </c>
      <c r="I156" s="1">
        <v>43486</v>
      </c>
      <c r="K156" s="1"/>
    </row>
    <row r="157" spans="2:11" x14ac:dyDescent="0.25">
      <c r="B157" s="1" t="s">
        <v>33</v>
      </c>
      <c r="C157">
        <v>1</v>
      </c>
      <c r="D157">
        <v>17</v>
      </c>
      <c r="E157">
        <v>10165</v>
      </c>
      <c r="F157">
        <v>2019</v>
      </c>
      <c r="H157" t="str">
        <f t="shared" si="2"/>
        <v>17/1/2019</v>
      </c>
      <c r="I157" s="1">
        <v>43482</v>
      </c>
      <c r="K157" s="1"/>
    </row>
    <row r="158" spans="2:11" x14ac:dyDescent="0.25">
      <c r="B158" s="1">
        <v>43647</v>
      </c>
      <c r="C158">
        <v>1</v>
      </c>
      <c r="D158">
        <v>7</v>
      </c>
      <c r="E158">
        <v>10113</v>
      </c>
      <c r="F158">
        <v>2019</v>
      </c>
      <c r="H158" t="str">
        <f t="shared" si="2"/>
        <v>7/1/2019</v>
      </c>
      <c r="I158" s="1">
        <v>43472</v>
      </c>
      <c r="K158" s="1"/>
    </row>
    <row r="159" spans="2:11" x14ac:dyDescent="0.25">
      <c r="B159" s="1" t="s">
        <v>320</v>
      </c>
      <c r="C159">
        <v>2</v>
      </c>
      <c r="D159">
        <v>15</v>
      </c>
      <c r="E159">
        <v>10092</v>
      </c>
      <c r="F159">
        <v>2015</v>
      </c>
      <c r="H159" t="str">
        <f t="shared" si="2"/>
        <v>15/2/2015</v>
      </c>
      <c r="I159" s="1">
        <v>42050</v>
      </c>
      <c r="K159" s="1"/>
    </row>
    <row r="160" spans="2:11" x14ac:dyDescent="0.25">
      <c r="B160" s="1" t="s">
        <v>125</v>
      </c>
      <c r="C160">
        <v>2</v>
      </c>
      <c r="D160">
        <v>20</v>
      </c>
      <c r="E160">
        <v>10106</v>
      </c>
      <c r="F160">
        <v>2014</v>
      </c>
      <c r="H160" t="str">
        <f t="shared" si="2"/>
        <v>20/2/2014</v>
      </c>
      <c r="I160" s="1">
        <v>41690</v>
      </c>
      <c r="K160" s="1"/>
    </row>
    <row r="161" spans="2:11" x14ac:dyDescent="0.25">
      <c r="B161" s="1">
        <v>43557</v>
      </c>
      <c r="C161">
        <v>2</v>
      </c>
      <c r="D161">
        <v>4</v>
      </c>
      <c r="E161">
        <v>10052</v>
      </c>
      <c r="F161">
        <v>2019</v>
      </c>
      <c r="H161" t="str">
        <f t="shared" si="2"/>
        <v>4/2/2019</v>
      </c>
      <c r="I161" s="1">
        <v>43500</v>
      </c>
      <c r="K161" s="1"/>
    </row>
    <row r="162" spans="2:11" x14ac:dyDescent="0.25">
      <c r="B162" s="1" t="s">
        <v>33</v>
      </c>
      <c r="C162">
        <v>1</v>
      </c>
      <c r="D162">
        <v>17</v>
      </c>
      <c r="E162">
        <v>10038</v>
      </c>
      <c r="F162">
        <v>2019</v>
      </c>
      <c r="H162" t="str">
        <f t="shared" si="2"/>
        <v>17/1/2019</v>
      </c>
      <c r="I162" s="1">
        <v>43482</v>
      </c>
      <c r="K162" s="1"/>
    </row>
    <row r="163" spans="2:11" x14ac:dyDescent="0.25">
      <c r="B163" s="1" t="s">
        <v>325</v>
      </c>
      <c r="C163">
        <v>2</v>
      </c>
      <c r="D163">
        <v>20</v>
      </c>
      <c r="E163">
        <v>10249</v>
      </c>
      <c r="F163">
        <v>2013</v>
      </c>
      <c r="H163" t="str">
        <f t="shared" si="2"/>
        <v>20/2/2013</v>
      </c>
      <c r="I163" s="1">
        <v>41325</v>
      </c>
      <c r="K163" s="1"/>
    </row>
    <row r="164" spans="2:11" x14ac:dyDescent="0.25">
      <c r="B164" s="1">
        <v>43678</v>
      </c>
      <c r="C164">
        <v>1</v>
      </c>
      <c r="D164">
        <v>8</v>
      </c>
      <c r="E164">
        <v>10232</v>
      </c>
      <c r="F164">
        <v>2019</v>
      </c>
      <c r="H164" t="str">
        <f t="shared" si="2"/>
        <v>8/1/2019</v>
      </c>
      <c r="I164" s="1">
        <v>43473</v>
      </c>
      <c r="K164" s="1"/>
    </row>
    <row r="165" spans="2:11" x14ac:dyDescent="0.25">
      <c r="B165" s="1">
        <v>42773</v>
      </c>
      <c r="C165">
        <v>7</v>
      </c>
      <c r="D165">
        <v>2</v>
      </c>
      <c r="E165">
        <v>10087</v>
      </c>
      <c r="F165">
        <v>2017</v>
      </c>
      <c r="H165" t="str">
        <f t="shared" si="2"/>
        <v>2/7/2017</v>
      </c>
      <c r="I165" s="1">
        <v>42918</v>
      </c>
      <c r="K165" s="1"/>
    </row>
    <row r="166" spans="2:11" x14ac:dyDescent="0.25">
      <c r="B166" s="1" t="s">
        <v>179</v>
      </c>
      <c r="C166">
        <v>1</v>
      </c>
      <c r="D166">
        <v>28</v>
      </c>
      <c r="E166">
        <v>10134</v>
      </c>
      <c r="F166">
        <v>2019</v>
      </c>
      <c r="H166" t="str">
        <f t="shared" si="2"/>
        <v>28/1/2019</v>
      </c>
      <c r="I166" s="1">
        <v>43493</v>
      </c>
      <c r="K166" s="1"/>
    </row>
    <row r="167" spans="2:11" x14ac:dyDescent="0.25">
      <c r="B167" s="1" t="s">
        <v>145</v>
      </c>
      <c r="C167">
        <v>2</v>
      </c>
      <c r="D167">
        <v>22</v>
      </c>
      <c r="E167">
        <v>10251</v>
      </c>
      <c r="F167">
        <v>2019</v>
      </c>
      <c r="H167" t="str">
        <f t="shared" si="2"/>
        <v>22/2/2019</v>
      </c>
      <c r="I167" s="1">
        <v>43518</v>
      </c>
      <c r="K167" s="1"/>
    </row>
    <row r="168" spans="2:11" x14ac:dyDescent="0.25">
      <c r="B168" s="1" t="s">
        <v>206</v>
      </c>
      <c r="C168">
        <v>1</v>
      </c>
      <c r="D168">
        <v>29</v>
      </c>
      <c r="E168">
        <v>10103</v>
      </c>
      <c r="F168">
        <v>2019</v>
      </c>
      <c r="H168" t="str">
        <f t="shared" si="2"/>
        <v>29/1/2019</v>
      </c>
      <c r="I168" s="1">
        <v>43494</v>
      </c>
      <c r="K168" s="1"/>
    </row>
    <row r="169" spans="2:11" x14ac:dyDescent="0.25">
      <c r="B169" s="1" t="s">
        <v>133</v>
      </c>
      <c r="C169">
        <v>1</v>
      </c>
      <c r="D169">
        <v>21</v>
      </c>
      <c r="E169">
        <v>10017</v>
      </c>
      <c r="F169">
        <v>2019</v>
      </c>
      <c r="H169" t="str">
        <f t="shared" si="2"/>
        <v>21/1/2019</v>
      </c>
      <c r="I169" s="1">
        <v>43486</v>
      </c>
      <c r="K169" s="1"/>
    </row>
    <row r="170" spans="2:11" x14ac:dyDescent="0.25">
      <c r="B170" s="1">
        <v>43134</v>
      </c>
      <c r="C170">
        <v>3</v>
      </c>
      <c r="D170">
        <v>2</v>
      </c>
      <c r="E170">
        <v>10186</v>
      </c>
      <c r="F170">
        <v>2018</v>
      </c>
      <c r="H170" t="str">
        <f t="shared" si="2"/>
        <v>2/3/2018</v>
      </c>
      <c r="I170" s="1">
        <v>43161</v>
      </c>
      <c r="K170" s="1"/>
    </row>
    <row r="171" spans="2:11" x14ac:dyDescent="0.25">
      <c r="B171" s="1" t="s">
        <v>77</v>
      </c>
      <c r="C171">
        <v>2</v>
      </c>
      <c r="D171">
        <v>18</v>
      </c>
      <c r="E171">
        <v>10137</v>
      </c>
      <c r="F171">
        <v>2019</v>
      </c>
      <c r="H171" t="str">
        <f t="shared" si="2"/>
        <v>18/2/2019</v>
      </c>
      <c r="I171" s="1">
        <v>43514</v>
      </c>
      <c r="K171" s="1"/>
    </row>
    <row r="172" spans="2:11" x14ac:dyDescent="0.25">
      <c r="B172" s="1" t="s">
        <v>73</v>
      </c>
      <c r="C172">
        <v>1</v>
      </c>
      <c r="D172">
        <v>25</v>
      </c>
      <c r="E172">
        <v>10008</v>
      </c>
      <c r="F172">
        <v>2019</v>
      </c>
      <c r="H172" t="str">
        <f t="shared" si="2"/>
        <v>25/1/2019</v>
      </c>
      <c r="I172" s="1">
        <v>43490</v>
      </c>
      <c r="K172" s="1"/>
    </row>
    <row r="173" spans="2:11" x14ac:dyDescent="0.25">
      <c r="B173" s="1">
        <v>42649</v>
      </c>
      <c r="C173">
        <v>6</v>
      </c>
      <c r="D173">
        <v>10</v>
      </c>
      <c r="E173">
        <v>10096</v>
      </c>
      <c r="F173">
        <v>2016</v>
      </c>
      <c r="H173" t="str">
        <f t="shared" si="2"/>
        <v>10/6/2016</v>
      </c>
      <c r="I173" s="1">
        <v>42531</v>
      </c>
      <c r="K173" s="1"/>
    </row>
    <row r="174" spans="2:11" x14ac:dyDescent="0.25">
      <c r="B174" s="1">
        <v>43801</v>
      </c>
      <c r="C174">
        <v>2</v>
      </c>
      <c r="D174">
        <v>12</v>
      </c>
      <c r="E174">
        <v>10035</v>
      </c>
      <c r="F174">
        <v>2019</v>
      </c>
      <c r="H174" t="str">
        <f t="shared" si="2"/>
        <v>12/2/2019</v>
      </c>
      <c r="I174" s="1">
        <v>43508</v>
      </c>
      <c r="K174" s="1"/>
    </row>
    <row r="175" spans="2:11" x14ac:dyDescent="0.25">
      <c r="B175" s="1" t="s">
        <v>202</v>
      </c>
      <c r="C175">
        <v>1</v>
      </c>
      <c r="D175">
        <v>23</v>
      </c>
      <c r="E175">
        <v>10057</v>
      </c>
      <c r="F175">
        <v>2019</v>
      </c>
      <c r="H175" t="str">
        <f t="shared" si="2"/>
        <v>23/1/2019</v>
      </c>
      <c r="I175" s="1">
        <v>43488</v>
      </c>
      <c r="K175" s="1"/>
    </row>
    <row r="176" spans="2:11" x14ac:dyDescent="0.25">
      <c r="B176" s="1">
        <v>42037</v>
      </c>
      <c r="C176">
        <v>2</v>
      </c>
      <c r="D176">
        <v>2</v>
      </c>
      <c r="E176">
        <v>10004</v>
      </c>
      <c r="F176">
        <v>2015</v>
      </c>
      <c r="H176" t="str">
        <f t="shared" si="2"/>
        <v>2/2/2015</v>
      </c>
      <c r="I176" s="1">
        <v>42037</v>
      </c>
      <c r="K176" s="1"/>
    </row>
    <row r="177" spans="2:11" x14ac:dyDescent="0.25">
      <c r="B177" s="1">
        <v>42739</v>
      </c>
      <c r="C177">
        <v>4</v>
      </c>
      <c r="D177">
        <v>1</v>
      </c>
      <c r="E177">
        <v>10191</v>
      </c>
      <c r="F177">
        <v>2017</v>
      </c>
      <c r="H177" t="str">
        <f t="shared" si="2"/>
        <v>1/4/2017</v>
      </c>
      <c r="I177" s="1">
        <v>42826</v>
      </c>
      <c r="K177" s="1"/>
    </row>
    <row r="178" spans="2:11" x14ac:dyDescent="0.25">
      <c r="B178" s="1" t="s">
        <v>248</v>
      </c>
      <c r="C178">
        <v>2</v>
      </c>
      <c r="D178">
        <v>26</v>
      </c>
      <c r="E178">
        <v>10219</v>
      </c>
      <c r="F178">
        <v>2019</v>
      </c>
      <c r="H178" t="str">
        <f t="shared" si="2"/>
        <v>26/2/2019</v>
      </c>
      <c r="I178" s="1">
        <v>43522</v>
      </c>
      <c r="K178" s="1"/>
    </row>
    <row r="179" spans="2:11" x14ac:dyDescent="0.25">
      <c r="B179" s="1" t="s">
        <v>133</v>
      </c>
      <c r="C179">
        <v>1</v>
      </c>
      <c r="D179">
        <v>21</v>
      </c>
      <c r="E179">
        <v>10077</v>
      </c>
      <c r="F179">
        <v>2019</v>
      </c>
      <c r="H179" t="str">
        <f t="shared" si="2"/>
        <v>21/1/2019</v>
      </c>
      <c r="I179" s="1">
        <v>43486</v>
      </c>
      <c r="K179" s="1"/>
    </row>
    <row r="180" spans="2:11" x14ac:dyDescent="0.25">
      <c r="B180" s="1">
        <v>40946</v>
      </c>
      <c r="C180">
        <v>7</v>
      </c>
      <c r="D180">
        <v>2</v>
      </c>
      <c r="E180">
        <v>10073</v>
      </c>
      <c r="F180">
        <v>2012</v>
      </c>
      <c r="H180" t="str">
        <f t="shared" si="2"/>
        <v>2/7/2012</v>
      </c>
      <c r="I180" s="1">
        <v>41092</v>
      </c>
      <c r="K180" s="1"/>
    </row>
    <row r="181" spans="2:11" x14ac:dyDescent="0.25">
      <c r="B181" s="1" t="s">
        <v>177</v>
      </c>
      <c r="C181">
        <v>1</v>
      </c>
      <c r="D181">
        <v>22</v>
      </c>
      <c r="E181">
        <v>10279</v>
      </c>
      <c r="F181">
        <v>2019</v>
      </c>
      <c r="H181" t="str">
        <f t="shared" si="2"/>
        <v>22/1/2019</v>
      </c>
      <c r="I181" s="1">
        <v>43487</v>
      </c>
      <c r="K181" s="1"/>
    </row>
    <row r="182" spans="2:11" x14ac:dyDescent="0.25">
      <c r="B182" s="1" t="s">
        <v>97</v>
      </c>
      <c r="C182">
        <v>1</v>
      </c>
      <c r="D182">
        <v>14</v>
      </c>
      <c r="E182">
        <v>10110</v>
      </c>
      <c r="F182">
        <v>2019</v>
      </c>
      <c r="H182" t="str">
        <f t="shared" si="2"/>
        <v>14/1/2019</v>
      </c>
      <c r="I182" s="1">
        <v>43479</v>
      </c>
      <c r="K182" s="1"/>
    </row>
    <row r="183" spans="2:11" x14ac:dyDescent="0.25">
      <c r="B183" s="1">
        <v>43739</v>
      </c>
      <c r="C183">
        <v>1</v>
      </c>
      <c r="D183">
        <v>10</v>
      </c>
      <c r="E183">
        <v>10053</v>
      </c>
      <c r="F183">
        <v>2019</v>
      </c>
      <c r="H183" t="str">
        <f t="shared" si="2"/>
        <v>10/1/2019</v>
      </c>
      <c r="I183" s="1">
        <v>43475</v>
      </c>
      <c r="K183" s="1"/>
    </row>
    <row r="184" spans="2:11" x14ac:dyDescent="0.25">
      <c r="B184" s="1">
        <v>43648</v>
      </c>
      <c r="C184">
        <v>2</v>
      </c>
      <c r="D184">
        <v>7</v>
      </c>
      <c r="E184">
        <v>10076</v>
      </c>
      <c r="F184">
        <v>2019</v>
      </c>
      <c r="H184" t="str">
        <f t="shared" si="2"/>
        <v>7/2/2019</v>
      </c>
      <c r="I184" s="1">
        <v>43503</v>
      </c>
      <c r="K184" s="1"/>
    </row>
    <row r="185" spans="2:11" x14ac:dyDescent="0.25">
      <c r="B185" s="1" t="s">
        <v>147</v>
      </c>
      <c r="C185">
        <v>1</v>
      </c>
      <c r="D185">
        <v>30</v>
      </c>
      <c r="E185">
        <v>10145</v>
      </c>
      <c r="F185">
        <v>2019</v>
      </c>
      <c r="H185" t="str">
        <f t="shared" si="2"/>
        <v>30/1/2019</v>
      </c>
      <c r="I185" s="1">
        <v>43495</v>
      </c>
      <c r="K185" s="1"/>
    </row>
    <row r="186" spans="2:11" x14ac:dyDescent="0.25">
      <c r="B186" s="1" t="s">
        <v>206</v>
      </c>
      <c r="C186">
        <v>1</v>
      </c>
      <c r="D186">
        <v>29</v>
      </c>
      <c r="E186">
        <v>10202</v>
      </c>
      <c r="F186">
        <v>2019</v>
      </c>
      <c r="H186" t="str">
        <f t="shared" si="2"/>
        <v>29/1/2019</v>
      </c>
      <c r="I186" s="1">
        <v>43494</v>
      </c>
      <c r="K186" s="1"/>
    </row>
    <row r="187" spans="2:11" x14ac:dyDescent="0.25">
      <c r="B187" s="1">
        <v>42492</v>
      </c>
      <c r="C187">
        <v>2</v>
      </c>
      <c r="D187">
        <v>5</v>
      </c>
      <c r="E187">
        <v>10128</v>
      </c>
      <c r="F187">
        <v>2016</v>
      </c>
      <c r="H187" t="str">
        <f t="shared" si="2"/>
        <v>5/2/2016</v>
      </c>
      <c r="I187" s="1">
        <v>42405</v>
      </c>
      <c r="K187" s="1"/>
    </row>
    <row r="188" spans="2:11" x14ac:dyDescent="0.25">
      <c r="B188" s="1" t="s">
        <v>133</v>
      </c>
      <c r="C188">
        <v>1</v>
      </c>
      <c r="D188">
        <v>21</v>
      </c>
      <c r="E188">
        <v>10068</v>
      </c>
      <c r="F188">
        <v>2019</v>
      </c>
      <c r="H188" t="str">
        <f t="shared" si="2"/>
        <v>21/1/2019</v>
      </c>
      <c r="I188" s="1">
        <v>43486</v>
      </c>
      <c r="K188" s="1"/>
    </row>
    <row r="189" spans="2:11" x14ac:dyDescent="0.25">
      <c r="B189" s="1" t="s">
        <v>97</v>
      </c>
      <c r="C189">
        <v>1</v>
      </c>
      <c r="D189">
        <v>14</v>
      </c>
      <c r="E189">
        <v>10116</v>
      </c>
      <c r="F189">
        <v>2019</v>
      </c>
      <c r="H189" t="str">
        <f t="shared" si="2"/>
        <v>14/1/2019</v>
      </c>
      <c r="I189" s="1">
        <v>43479</v>
      </c>
      <c r="K189" s="1"/>
    </row>
    <row r="190" spans="2:11" x14ac:dyDescent="0.25">
      <c r="B190" s="1" t="s">
        <v>356</v>
      </c>
      <c r="C190">
        <v>1</v>
      </c>
      <c r="D190">
        <v>14</v>
      </c>
      <c r="E190">
        <v>10298</v>
      </c>
      <c r="F190">
        <v>2013</v>
      </c>
      <c r="H190" t="str">
        <f t="shared" si="2"/>
        <v>14/1/2013</v>
      </c>
      <c r="I190" s="1">
        <v>41288</v>
      </c>
      <c r="K190" s="1"/>
    </row>
    <row r="191" spans="2:11" x14ac:dyDescent="0.25">
      <c r="B191" s="1">
        <v>43678</v>
      </c>
      <c r="C191">
        <v>1</v>
      </c>
      <c r="D191">
        <v>8</v>
      </c>
      <c r="E191">
        <v>10213</v>
      </c>
      <c r="F191">
        <v>2019</v>
      </c>
      <c r="H191" t="str">
        <f t="shared" si="2"/>
        <v>8/1/2019</v>
      </c>
      <c r="I191" s="1">
        <v>43473</v>
      </c>
      <c r="K191" s="1"/>
    </row>
    <row r="192" spans="2:11" x14ac:dyDescent="0.25">
      <c r="B192" s="1" t="s">
        <v>145</v>
      </c>
      <c r="C192">
        <v>2</v>
      </c>
      <c r="D192">
        <v>22</v>
      </c>
      <c r="E192">
        <v>10288</v>
      </c>
      <c r="F192">
        <v>2019</v>
      </c>
      <c r="H192" t="str">
        <f t="shared" si="2"/>
        <v>22/2/2019</v>
      </c>
      <c r="I192" s="1">
        <v>43518</v>
      </c>
      <c r="K192" s="1"/>
    </row>
    <row r="193" spans="2:11" x14ac:dyDescent="0.25">
      <c r="B193" s="1" t="s">
        <v>97</v>
      </c>
      <c r="C193">
        <v>1</v>
      </c>
      <c r="D193">
        <v>14</v>
      </c>
      <c r="E193">
        <v>10025</v>
      </c>
      <c r="F193">
        <v>2019</v>
      </c>
      <c r="H193" t="str">
        <f t="shared" si="2"/>
        <v>14/1/2019</v>
      </c>
      <c r="I193" s="1">
        <v>43479</v>
      </c>
      <c r="K193" s="1"/>
    </row>
    <row r="194" spans="2:11" x14ac:dyDescent="0.25">
      <c r="B194" s="1" t="s">
        <v>190</v>
      </c>
      <c r="C194">
        <v>1</v>
      </c>
      <c r="D194">
        <v>31</v>
      </c>
      <c r="E194">
        <v>10223</v>
      </c>
      <c r="F194">
        <v>2019</v>
      </c>
      <c r="H194" t="str">
        <f t="shared" ref="H194:H257" si="3">D194&amp;"/"&amp;C194&amp;"/"&amp;F194</f>
        <v>31/1/2019</v>
      </c>
      <c r="I194" s="1">
        <v>43496</v>
      </c>
      <c r="K194" s="1"/>
    </row>
    <row r="195" spans="2:11" x14ac:dyDescent="0.25">
      <c r="B195" s="1">
        <v>43771</v>
      </c>
      <c r="C195">
        <v>2</v>
      </c>
      <c r="D195">
        <v>11</v>
      </c>
      <c r="E195">
        <v>10151</v>
      </c>
      <c r="F195">
        <v>2019</v>
      </c>
      <c r="H195" t="str">
        <f t="shared" si="3"/>
        <v>11/2/2019</v>
      </c>
      <c r="I195" s="1">
        <v>43507</v>
      </c>
      <c r="K195" s="1"/>
    </row>
    <row r="196" spans="2:11" x14ac:dyDescent="0.25">
      <c r="B196" s="1" t="s">
        <v>33</v>
      </c>
      <c r="C196">
        <v>1</v>
      </c>
      <c r="D196">
        <v>17</v>
      </c>
      <c r="E196">
        <v>10254</v>
      </c>
      <c r="F196">
        <v>2019</v>
      </c>
      <c r="H196" t="str">
        <f t="shared" si="3"/>
        <v>17/1/2019</v>
      </c>
      <c r="I196" s="1">
        <v>43482</v>
      </c>
      <c r="K196" s="1"/>
    </row>
    <row r="197" spans="2:11" x14ac:dyDescent="0.25">
      <c r="B197" s="1" t="s">
        <v>179</v>
      </c>
      <c r="C197">
        <v>1</v>
      </c>
      <c r="D197">
        <v>28</v>
      </c>
      <c r="E197">
        <v>10120</v>
      </c>
      <c r="F197">
        <v>2019</v>
      </c>
      <c r="H197" t="str">
        <f t="shared" si="3"/>
        <v>28/1/2019</v>
      </c>
      <c r="I197" s="1">
        <v>43493</v>
      </c>
      <c r="K197" s="1"/>
    </row>
    <row r="198" spans="2:11" x14ac:dyDescent="0.25">
      <c r="B198" s="1" t="s">
        <v>177</v>
      </c>
      <c r="C198">
        <v>1</v>
      </c>
      <c r="D198">
        <v>22</v>
      </c>
      <c r="E198">
        <v>10216</v>
      </c>
      <c r="F198">
        <v>2019</v>
      </c>
      <c r="H198" t="str">
        <f t="shared" si="3"/>
        <v>22/1/2019</v>
      </c>
      <c r="I198" s="1">
        <v>43487</v>
      </c>
      <c r="K198" s="1"/>
    </row>
    <row r="199" spans="2:11" x14ac:dyDescent="0.25">
      <c r="B199" s="1" t="s">
        <v>68</v>
      </c>
      <c r="C199">
        <v>2</v>
      </c>
      <c r="D199">
        <v>25</v>
      </c>
      <c r="E199">
        <v>10079</v>
      </c>
      <c r="F199">
        <v>2019</v>
      </c>
      <c r="H199" t="str">
        <f t="shared" si="3"/>
        <v>25/2/2019</v>
      </c>
      <c r="I199" s="1">
        <v>43521</v>
      </c>
      <c r="K199" s="1"/>
    </row>
    <row r="200" spans="2:11" x14ac:dyDescent="0.25">
      <c r="B200" s="1">
        <v>41308</v>
      </c>
      <c r="C200">
        <v>3</v>
      </c>
      <c r="D200">
        <v>2</v>
      </c>
      <c r="E200">
        <v>10215</v>
      </c>
      <c r="F200">
        <v>2013</v>
      </c>
      <c r="H200" t="str">
        <f t="shared" si="3"/>
        <v>2/3/2013</v>
      </c>
      <c r="I200" s="1">
        <v>41335</v>
      </c>
      <c r="K200" s="1"/>
    </row>
    <row r="201" spans="2:11" x14ac:dyDescent="0.25">
      <c r="B201" s="1">
        <v>42524</v>
      </c>
      <c r="C201">
        <v>3</v>
      </c>
      <c r="D201">
        <v>6</v>
      </c>
      <c r="E201">
        <v>10185</v>
      </c>
      <c r="F201">
        <v>2016</v>
      </c>
      <c r="H201" t="str">
        <f t="shared" si="3"/>
        <v>6/3/2016</v>
      </c>
      <c r="I201" s="1">
        <v>42435</v>
      </c>
      <c r="K201" s="1"/>
    </row>
    <row r="202" spans="2:11" x14ac:dyDescent="0.25">
      <c r="B202" s="1" t="s">
        <v>77</v>
      </c>
      <c r="C202">
        <v>2</v>
      </c>
      <c r="D202">
        <v>18</v>
      </c>
      <c r="E202">
        <v>10063</v>
      </c>
      <c r="F202">
        <v>2019</v>
      </c>
      <c r="H202" t="str">
        <f t="shared" si="3"/>
        <v>18/2/2019</v>
      </c>
      <c r="I202" s="1">
        <v>43514</v>
      </c>
      <c r="K202" s="1"/>
    </row>
    <row r="203" spans="2:11" x14ac:dyDescent="0.25">
      <c r="B203" s="1" t="s">
        <v>220</v>
      </c>
      <c r="C203">
        <v>2</v>
      </c>
      <c r="D203">
        <v>13</v>
      </c>
      <c r="E203">
        <v>10037</v>
      </c>
      <c r="F203">
        <v>2019</v>
      </c>
      <c r="H203" t="str">
        <f t="shared" si="3"/>
        <v>13/2/2019</v>
      </c>
      <c r="I203" s="1">
        <v>43509</v>
      </c>
      <c r="K203" s="1"/>
    </row>
    <row r="204" spans="2:11" x14ac:dyDescent="0.25">
      <c r="B204" s="1" t="s">
        <v>73</v>
      </c>
      <c r="C204">
        <v>1</v>
      </c>
      <c r="D204">
        <v>25</v>
      </c>
      <c r="E204">
        <v>10042</v>
      </c>
      <c r="F204">
        <v>2019</v>
      </c>
      <c r="H204" t="str">
        <f t="shared" si="3"/>
        <v>25/1/2019</v>
      </c>
      <c r="I204" s="1">
        <v>43490</v>
      </c>
      <c r="K204" s="1"/>
    </row>
    <row r="205" spans="2:11" x14ac:dyDescent="0.25">
      <c r="B205" s="1">
        <v>43497</v>
      </c>
      <c r="C205">
        <v>1</v>
      </c>
      <c r="D205">
        <v>2</v>
      </c>
      <c r="E205">
        <v>10206</v>
      </c>
      <c r="F205">
        <v>2019</v>
      </c>
      <c r="H205" t="str">
        <f t="shared" si="3"/>
        <v>2/1/2019</v>
      </c>
      <c r="I205" s="1">
        <v>43467</v>
      </c>
      <c r="K205" s="1"/>
    </row>
    <row r="206" spans="2:11" x14ac:dyDescent="0.25">
      <c r="B206" s="1" t="s">
        <v>250</v>
      </c>
      <c r="C206">
        <v>1</v>
      </c>
      <c r="D206">
        <v>16</v>
      </c>
      <c r="E206">
        <v>10104</v>
      </c>
      <c r="F206">
        <v>2019</v>
      </c>
      <c r="H206" t="str">
        <f t="shared" si="3"/>
        <v>16/1/2019</v>
      </c>
      <c r="I206" s="1">
        <v>43481</v>
      </c>
      <c r="K206" s="1"/>
    </row>
    <row r="207" spans="2:11" x14ac:dyDescent="0.25">
      <c r="B207" s="1">
        <v>43346</v>
      </c>
      <c r="C207">
        <v>3</v>
      </c>
      <c r="D207">
        <v>9</v>
      </c>
      <c r="E207">
        <v>10303</v>
      </c>
      <c r="F207">
        <v>2018</v>
      </c>
      <c r="H207" t="str">
        <f t="shared" si="3"/>
        <v>9/3/2018</v>
      </c>
      <c r="I207" s="1">
        <v>43168</v>
      </c>
      <c r="K207" s="1"/>
    </row>
    <row r="208" spans="2:11" x14ac:dyDescent="0.25">
      <c r="B208" s="1">
        <v>41312</v>
      </c>
      <c r="C208">
        <v>7</v>
      </c>
      <c r="D208">
        <v>2</v>
      </c>
      <c r="E208">
        <v>10078</v>
      </c>
      <c r="F208">
        <v>2013</v>
      </c>
      <c r="H208" t="str">
        <f t="shared" si="3"/>
        <v>2/7/2013</v>
      </c>
      <c r="I208" s="1">
        <v>41457</v>
      </c>
      <c r="K208" s="1"/>
    </row>
    <row r="209" spans="2:11" x14ac:dyDescent="0.25">
      <c r="B209" s="1" t="s">
        <v>73</v>
      </c>
      <c r="C209">
        <v>1</v>
      </c>
      <c r="D209">
        <v>25</v>
      </c>
      <c r="E209">
        <v>10121</v>
      </c>
      <c r="F209">
        <v>2019</v>
      </c>
      <c r="H209" t="str">
        <f t="shared" si="3"/>
        <v>25/1/2019</v>
      </c>
      <c r="I209" s="1">
        <v>43490</v>
      </c>
      <c r="K209" s="1"/>
    </row>
    <row r="210" spans="2:11" x14ac:dyDescent="0.25">
      <c r="B210" s="1">
        <v>43648</v>
      </c>
      <c r="C210">
        <v>2</v>
      </c>
      <c r="D210">
        <v>7</v>
      </c>
      <c r="E210">
        <v>10021</v>
      </c>
      <c r="F210">
        <v>2019</v>
      </c>
      <c r="H210" t="str">
        <f t="shared" si="3"/>
        <v>7/2/2019</v>
      </c>
      <c r="I210" s="1">
        <v>43503</v>
      </c>
      <c r="K210" s="1"/>
    </row>
    <row r="211" spans="2:11" x14ac:dyDescent="0.25">
      <c r="B211" s="1">
        <v>43557</v>
      </c>
      <c r="C211">
        <v>2</v>
      </c>
      <c r="D211">
        <v>4</v>
      </c>
      <c r="E211">
        <v>10281</v>
      </c>
      <c r="F211">
        <v>2019</v>
      </c>
      <c r="H211" t="str">
        <f t="shared" si="3"/>
        <v>4/2/2019</v>
      </c>
      <c r="I211" s="1">
        <v>43500</v>
      </c>
      <c r="K211" s="1"/>
    </row>
    <row r="212" spans="2:11" x14ac:dyDescent="0.25">
      <c r="B212" s="1" t="s">
        <v>97</v>
      </c>
      <c r="C212">
        <v>1</v>
      </c>
      <c r="D212">
        <v>14</v>
      </c>
      <c r="E212">
        <v>10041</v>
      </c>
      <c r="F212">
        <v>2019</v>
      </c>
      <c r="H212" t="str">
        <f t="shared" si="3"/>
        <v>14/1/2019</v>
      </c>
      <c r="I212" s="1">
        <v>43479</v>
      </c>
      <c r="K212" s="1"/>
    </row>
    <row r="213" spans="2:11" x14ac:dyDescent="0.25">
      <c r="B213" s="1">
        <v>41367</v>
      </c>
      <c r="C213">
        <v>3</v>
      </c>
      <c r="D213">
        <v>4</v>
      </c>
      <c r="E213">
        <v>10148</v>
      </c>
      <c r="F213">
        <v>2013</v>
      </c>
      <c r="H213" t="str">
        <f t="shared" si="3"/>
        <v>4/3/2013</v>
      </c>
      <c r="I213" s="1">
        <v>41337</v>
      </c>
      <c r="K213" s="1"/>
    </row>
    <row r="214" spans="2:11" x14ac:dyDescent="0.25">
      <c r="B214" s="1" t="s">
        <v>383</v>
      </c>
      <c r="C214">
        <v>8</v>
      </c>
      <c r="D214">
        <v>16</v>
      </c>
      <c r="E214">
        <v>10005</v>
      </c>
      <c r="F214">
        <v>2015</v>
      </c>
      <c r="H214" t="str">
        <f t="shared" si="3"/>
        <v>16/8/2015</v>
      </c>
      <c r="I214" s="1">
        <v>42232</v>
      </c>
      <c r="K214" s="1"/>
    </row>
    <row r="215" spans="2:11" x14ac:dyDescent="0.25">
      <c r="B215" s="1" t="s">
        <v>385</v>
      </c>
      <c r="C215">
        <v>1</v>
      </c>
      <c r="D215">
        <v>16</v>
      </c>
      <c r="E215">
        <v>10259</v>
      </c>
      <c r="F215">
        <v>2016</v>
      </c>
      <c r="H215" t="str">
        <f t="shared" si="3"/>
        <v>16/1/2016</v>
      </c>
      <c r="I215" s="1">
        <v>42385</v>
      </c>
      <c r="K215" s="1"/>
    </row>
    <row r="216" spans="2:11" x14ac:dyDescent="0.25">
      <c r="B216" s="1">
        <v>42890</v>
      </c>
      <c r="C216">
        <v>4</v>
      </c>
      <c r="D216">
        <v>6</v>
      </c>
      <c r="E216">
        <v>10286</v>
      </c>
      <c r="F216">
        <v>2017</v>
      </c>
      <c r="H216" t="str">
        <f t="shared" si="3"/>
        <v>6/4/2017</v>
      </c>
      <c r="I216" s="1">
        <v>42831</v>
      </c>
      <c r="K216" s="1"/>
    </row>
    <row r="217" spans="2:11" x14ac:dyDescent="0.25">
      <c r="B217" s="1">
        <v>42157</v>
      </c>
      <c r="C217">
        <v>2</v>
      </c>
      <c r="D217">
        <v>6</v>
      </c>
      <c r="E217">
        <v>10297</v>
      </c>
      <c r="F217">
        <v>2015</v>
      </c>
      <c r="H217" t="str">
        <f t="shared" si="3"/>
        <v>6/2/2015</v>
      </c>
      <c r="I217" s="1">
        <v>42041</v>
      </c>
      <c r="K217" s="1"/>
    </row>
    <row r="218" spans="2:11" x14ac:dyDescent="0.25">
      <c r="B218" s="1" t="s">
        <v>390</v>
      </c>
      <c r="C218">
        <v>5</v>
      </c>
      <c r="D218">
        <v>13</v>
      </c>
      <c r="E218">
        <v>10171</v>
      </c>
      <c r="F218">
        <v>2014</v>
      </c>
      <c r="H218" t="str">
        <f t="shared" si="3"/>
        <v>13/5/2014</v>
      </c>
      <c r="I218" s="1">
        <v>41772</v>
      </c>
      <c r="K218" s="1"/>
    </row>
    <row r="219" spans="2:11" x14ac:dyDescent="0.25">
      <c r="B219" s="1">
        <v>41548</v>
      </c>
      <c r="C219">
        <v>1</v>
      </c>
      <c r="D219">
        <v>10</v>
      </c>
      <c r="E219">
        <v>10032</v>
      </c>
      <c r="F219">
        <v>2013</v>
      </c>
      <c r="H219" t="str">
        <f t="shared" si="3"/>
        <v>10/1/2013</v>
      </c>
      <c r="I219" s="1">
        <v>41284</v>
      </c>
      <c r="K219" s="1"/>
    </row>
    <row r="220" spans="2:11" x14ac:dyDescent="0.25">
      <c r="B220" s="1">
        <v>42127</v>
      </c>
      <c r="C220">
        <v>3</v>
      </c>
      <c r="D220">
        <v>5</v>
      </c>
      <c r="E220">
        <v>10130</v>
      </c>
      <c r="F220">
        <v>2015</v>
      </c>
      <c r="H220" t="str">
        <f t="shared" si="3"/>
        <v>5/3/2015</v>
      </c>
      <c r="I220" s="1">
        <v>42068</v>
      </c>
      <c r="K220" s="1"/>
    </row>
    <row r="221" spans="2:11" x14ac:dyDescent="0.25">
      <c r="B221" s="1" t="s">
        <v>97</v>
      </c>
      <c r="C221">
        <v>1</v>
      </c>
      <c r="D221">
        <v>14</v>
      </c>
      <c r="E221">
        <v>10217</v>
      </c>
      <c r="F221">
        <v>2019</v>
      </c>
      <c r="H221" t="str">
        <f t="shared" si="3"/>
        <v>14/1/2019</v>
      </c>
      <c r="I221" s="1">
        <v>43479</v>
      </c>
      <c r="K221" s="1"/>
    </row>
    <row r="222" spans="2:11" x14ac:dyDescent="0.25">
      <c r="B222" s="1">
        <v>43556</v>
      </c>
      <c r="C222">
        <v>1</v>
      </c>
      <c r="D222">
        <v>4</v>
      </c>
      <c r="E222">
        <v>10016</v>
      </c>
      <c r="F222">
        <v>2019</v>
      </c>
      <c r="H222" t="str">
        <f t="shared" si="3"/>
        <v>4/1/2019</v>
      </c>
      <c r="I222" s="1">
        <v>43469</v>
      </c>
      <c r="K222" s="1"/>
    </row>
    <row r="223" spans="2:11" x14ac:dyDescent="0.25">
      <c r="B223" s="1" t="s">
        <v>88</v>
      </c>
      <c r="C223">
        <v>2</v>
      </c>
      <c r="D223">
        <v>20</v>
      </c>
      <c r="E223">
        <v>10050</v>
      </c>
      <c r="F223">
        <v>2012</v>
      </c>
      <c r="H223" t="str">
        <f t="shared" si="3"/>
        <v>20/2/2012</v>
      </c>
      <c r="I223" s="1">
        <v>40959</v>
      </c>
      <c r="K223" s="1"/>
    </row>
    <row r="224" spans="2:11" x14ac:dyDescent="0.25">
      <c r="B224" s="1" t="s">
        <v>68</v>
      </c>
      <c r="C224">
        <v>2</v>
      </c>
      <c r="D224">
        <v>25</v>
      </c>
      <c r="E224">
        <v>10164</v>
      </c>
      <c r="F224">
        <v>2019</v>
      </c>
      <c r="H224" t="str">
        <f t="shared" si="3"/>
        <v>25/2/2019</v>
      </c>
      <c r="I224" s="1">
        <v>43521</v>
      </c>
      <c r="K224" s="1"/>
    </row>
    <row r="225" spans="2:11" x14ac:dyDescent="0.25">
      <c r="B225" s="1">
        <v>43467</v>
      </c>
      <c r="C225">
        <v>2</v>
      </c>
      <c r="D225">
        <v>1</v>
      </c>
      <c r="E225">
        <v>10124</v>
      </c>
      <c r="F225">
        <v>2019</v>
      </c>
      <c r="H225" t="str">
        <f t="shared" si="3"/>
        <v>1/2/2019</v>
      </c>
      <c r="I225" s="1">
        <v>43497</v>
      </c>
      <c r="K225" s="1"/>
    </row>
    <row r="226" spans="2:11" x14ac:dyDescent="0.25">
      <c r="B226" s="1">
        <v>43135</v>
      </c>
      <c r="C226">
        <v>4</v>
      </c>
      <c r="D226">
        <v>2</v>
      </c>
      <c r="E226">
        <v>10187</v>
      </c>
      <c r="F226">
        <v>2018</v>
      </c>
      <c r="H226" t="str">
        <f t="shared" si="3"/>
        <v>2/4/2018</v>
      </c>
      <c r="I226" s="1">
        <v>43192</v>
      </c>
      <c r="K226" s="1"/>
    </row>
    <row r="227" spans="2:11" x14ac:dyDescent="0.25">
      <c r="B227" s="1">
        <v>43647</v>
      </c>
      <c r="C227">
        <v>1</v>
      </c>
      <c r="D227">
        <v>7</v>
      </c>
      <c r="E227">
        <v>10225</v>
      </c>
      <c r="F227">
        <v>2019</v>
      </c>
      <c r="H227" t="str">
        <f t="shared" si="3"/>
        <v>7/1/2019</v>
      </c>
      <c r="I227" s="1">
        <v>43472</v>
      </c>
      <c r="K227" s="1"/>
    </row>
    <row r="228" spans="2:11" x14ac:dyDescent="0.25">
      <c r="B228" s="1">
        <v>41309</v>
      </c>
      <c r="C228">
        <v>4</v>
      </c>
      <c r="D228">
        <v>2</v>
      </c>
      <c r="E228">
        <v>10262</v>
      </c>
      <c r="F228">
        <v>2013</v>
      </c>
      <c r="H228" t="str">
        <f t="shared" si="3"/>
        <v>2/4/2013</v>
      </c>
      <c r="I228" s="1">
        <v>41366</v>
      </c>
      <c r="K228" s="1"/>
    </row>
    <row r="229" spans="2:11" x14ac:dyDescent="0.25">
      <c r="B229" s="1" t="s">
        <v>402</v>
      </c>
      <c r="C229">
        <v>4</v>
      </c>
      <c r="D229">
        <v>19</v>
      </c>
      <c r="E229">
        <v>10131</v>
      </c>
      <c r="F229">
        <v>2014</v>
      </c>
      <c r="H229" t="str">
        <f t="shared" si="3"/>
        <v>19/4/2014</v>
      </c>
      <c r="I229" s="1">
        <v>41748</v>
      </c>
      <c r="K229" s="1"/>
    </row>
    <row r="230" spans="2:11" x14ac:dyDescent="0.25">
      <c r="B230" s="1">
        <v>43618</v>
      </c>
      <c r="C230">
        <v>2</v>
      </c>
      <c r="D230">
        <v>6</v>
      </c>
      <c r="E230">
        <v>10239</v>
      </c>
      <c r="F230">
        <v>2019</v>
      </c>
      <c r="H230" t="str">
        <f t="shared" si="3"/>
        <v>6/2/2019</v>
      </c>
      <c r="I230" s="1">
        <v>43502</v>
      </c>
      <c r="K230" s="1"/>
    </row>
    <row r="231" spans="2:11" x14ac:dyDescent="0.25">
      <c r="B231" s="1">
        <v>43192</v>
      </c>
      <c r="C231">
        <v>2</v>
      </c>
      <c r="D231">
        <v>4</v>
      </c>
      <c r="E231">
        <v>10152</v>
      </c>
      <c r="F231">
        <v>2018</v>
      </c>
      <c r="H231" t="str">
        <f t="shared" si="3"/>
        <v>4/2/2018</v>
      </c>
      <c r="I231" s="1">
        <v>43135</v>
      </c>
      <c r="K231" s="1"/>
    </row>
    <row r="232" spans="2:11" x14ac:dyDescent="0.25">
      <c r="B232" s="1" t="s">
        <v>179</v>
      </c>
      <c r="C232">
        <v>1</v>
      </c>
      <c r="D232">
        <v>28</v>
      </c>
      <c r="E232">
        <v>10140</v>
      </c>
      <c r="F232">
        <v>2019</v>
      </c>
      <c r="H232" t="str">
        <f t="shared" si="3"/>
        <v>28/1/2019</v>
      </c>
      <c r="I232" s="1">
        <v>43493</v>
      </c>
      <c r="K232" s="1"/>
    </row>
    <row r="233" spans="2:11" x14ac:dyDescent="0.25">
      <c r="B233" s="1" t="s">
        <v>37</v>
      </c>
      <c r="C233">
        <v>3</v>
      </c>
      <c r="D233">
        <v>30</v>
      </c>
      <c r="E233">
        <v>10058</v>
      </c>
      <c r="F233">
        <v>2015</v>
      </c>
      <c r="H233" t="str">
        <f t="shared" si="3"/>
        <v>30/3/2015</v>
      </c>
      <c r="I233" s="1">
        <v>42093</v>
      </c>
      <c r="K233" s="1"/>
    </row>
    <row r="234" spans="2:11" x14ac:dyDescent="0.25">
      <c r="B234" s="1">
        <v>43771</v>
      </c>
      <c r="C234">
        <v>2</v>
      </c>
      <c r="D234">
        <v>11</v>
      </c>
      <c r="E234">
        <v>10011</v>
      </c>
      <c r="F234">
        <v>2019</v>
      </c>
      <c r="H234" t="str">
        <f t="shared" si="3"/>
        <v>11/2/2019</v>
      </c>
      <c r="I234" s="1">
        <v>43507</v>
      </c>
      <c r="K234" s="1"/>
    </row>
    <row r="235" spans="2:11" x14ac:dyDescent="0.25">
      <c r="B235" s="1" t="s">
        <v>409</v>
      </c>
      <c r="C235">
        <v>10</v>
      </c>
      <c r="D235">
        <v>22</v>
      </c>
      <c r="E235">
        <v>10230</v>
      </c>
      <c r="F235">
        <v>2011</v>
      </c>
      <c r="H235" t="str">
        <f t="shared" si="3"/>
        <v>22/10/2011</v>
      </c>
      <c r="I235" s="1">
        <v>40838</v>
      </c>
      <c r="K235" s="1"/>
    </row>
    <row r="236" spans="2:11" x14ac:dyDescent="0.25">
      <c r="B236" s="1">
        <v>41061</v>
      </c>
      <c r="C236">
        <v>1</v>
      </c>
      <c r="D236">
        <v>6</v>
      </c>
      <c r="E236">
        <v>10224</v>
      </c>
      <c r="F236">
        <v>2012</v>
      </c>
      <c r="H236" t="str">
        <f t="shared" si="3"/>
        <v>6/1/2012</v>
      </c>
      <c r="I236" s="1">
        <v>40914</v>
      </c>
      <c r="K236" s="1"/>
    </row>
    <row r="237" spans="2:11" x14ac:dyDescent="0.25">
      <c r="B237" s="1">
        <v>42278</v>
      </c>
      <c r="C237">
        <v>1</v>
      </c>
      <c r="D237">
        <v>10</v>
      </c>
      <c r="E237">
        <v>10047</v>
      </c>
      <c r="F237">
        <v>2015</v>
      </c>
      <c r="H237" t="str">
        <f t="shared" si="3"/>
        <v>10/1/2015</v>
      </c>
      <c r="I237" s="1">
        <v>42014</v>
      </c>
      <c r="K237" s="1"/>
    </row>
    <row r="238" spans="2:11" x14ac:dyDescent="0.25">
      <c r="B238" s="1">
        <v>42494</v>
      </c>
      <c r="C238">
        <v>4</v>
      </c>
      <c r="D238">
        <v>5</v>
      </c>
      <c r="E238">
        <v>10285</v>
      </c>
      <c r="F238">
        <v>2016</v>
      </c>
      <c r="H238" t="str">
        <f t="shared" si="3"/>
        <v>5/4/2016</v>
      </c>
      <c r="I238" s="1">
        <v>42465</v>
      </c>
      <c r="K238" s="1"/>
    </row>
    <row r="239" spans="2:11" x14ac:dyDescent="0.25">
      <c r="B239" s="1">
        <v>43771</v>
      </c>
      <c r="C239">
        <v>2</v>
      </c>
      <c r="D239">
        <v>11</v>
      </c>
      <c r="E239">
        <v>10020</v>
      </c>
      <c r="F239">
        <v>2019</v>
      </c>
      <c r="H239" t="str">
        <f t="shared" si="3"/>
        <v>11/2/2019</v>
      </c>
      <c r="I239" s="1">
        <v>43507</v>
      </c>
      <c r="K239" s="1"/>
    </row>
    <row r="240" spans="2:11" x14ac:dyDescent="0.25">
      <c r="B240" s="1" t="s">
        <v>90</v>
      </c>
      <c r="C240">
        <v>2</v>
      </c>
      <c r="D240">
        <v>14</v>
      </c>
      <c r="E240">
        <v>10162</v>
      </c>
      <c r="F240">
        <v>2019</v>
      </c>
      <c r="H240" t="str">
        <f t="shared" si="3"/>
        <v>14/2/2019</v>
      </c>
      <c r="I240" s="1">
        <v>43510</v>
      </c>
      <c r="K240" s="1"/>
    </row>
    <row r="241" spans="2:11" x14ac:dyDescent="0.25">
      <c r="B241" s="1" t="s">
        <v>417</v>
      </c>
      <c r="C241">
        <v>2</v>
      </c>
      <c r="D241">
        <v>13</v>
      </c>
      <c r="E241">
        <v>10149</v>
      </c>
      <c r="F241">
        <v>2018</v>
      </c>
      <c r="H241" t="str">
        <f t="shared" si="3"/>
        <v>13/2/2018</v>
      </c>
      <c r="I241" s="1">
        <v>43144</v>
      </c>
      <c r="K241" s="1"/>
    </row>
    <row r="242" spans="2:11" x14ac:dyDescent="0.25">
      <c r="B242" s="1">
        <v>43618</v>
      </c>
      <c r="C242">
        <v>2</v>
      </c>
      <c r="D242">
        <v>6</v>
      </c>
      <c r="E242">
        <v>10086</v>
      </c>
      <c r="F242">
        <v>2019</v>
      </c>
      <c r="H242" t="str">
        <f t="shared" si="3"/>
        <v>6/2/2019</v>
      </c>
      <c r="I242" s="1">
        <v>43502</v>
      </c>
      <c r="K242" s="1"/>
    </row>
    <row r="243" spans="2:11" x14ac:dyDescent="0.25">
      <c r="B243" s="1" t="s">
        <v>190</v>
      </c>
      <c r="C243">
        <v>1</v>
      </c>
      <c r="D243">
        <v>31</v>
      </c>
      <c r="E243">
        <v>10054</v>
      </c>
      <c r="F243">
        <v>2019</v>
      </c>
      <c r="H243" t="str">
        <f t="shared" si="3"/>
        <v>31/1/2019</v>
      </c>
      <c r="I243" s="1">
        <v>43496</v>
      </c>
      <c r="K243" s="1"/>
    </row>
    <row r="244" spans="2:11" x14ac:dyDescent="0.25">
      <c r="B244" s="1">
        <v>43138</v>
      </c>
      <c r="C244">
        <v>7</v>
      </c>
      <c r="D244">
        <v>2</v>
      </c>
      <c r="E244">
        <v>10065</v>
      </c>
      <c r="F244">
        <v>2018</v>
      </c>
      <c r="H244" t="str">
        <f t="shared" si="3"/>
        <v>2/7/2018</v>
      </c>
      <c r="I244" s="1">
        <v>43283</v>
      </c>
      <c r="K244" s="1"/>
    </row>
    <row r="245" spans="2:11" x14ac:dyDescent="0.25">
      <c r="B245" s="1" t="s">
        <v>77</v>
      </c>
      <c r="C245">
        <v>2</v>
      </c>
      <c r="D245">
        <v>18</v>
      </c>
      <c r="E245">
        <v>10198</v>
      </c>
      <c r="F245">
        <v>2019</v>
      </c>
      <c r="H245" t="str">
        <f t="shared" si="3"/>
        <v>18/2/2019</v>
      </c>
      <c r="I245" s="1">
        <v>43514</v>
      </c>
      <c r="K245" s="1"/>
    </row>
    <row r="246" spans="2:11" x14ac:dyDescent="0.25">
      <c r="B246" s="1">
        <v>42095</v>
      </c>
      <c r="C246">
        <v>1</v>
      </c>
      <c r="D246">
        <v>4</v>
      </c>
      <c r="E246">
        <v>10222</v>
      </c>
      <c r="F246">
        <v>2015</v>
      </c>
      <c r="H246" t="str">
        <f t="shared" si="3"/>
        <v>4/1/2015</v>
      </c>
      <c r="I246" s="1">
        <v>42008</v>
      </c>
      <c r="K246" s="1"/>
    </row>
    <row r="247" spans="2:11" x14ac:dyDescent="0.25">
      <c r="B247" s="1" t="s">
        <v>220</v>
      </c>
      <c r="C247">
        <v>2</v>
      </c>
      <c r="D247">
        <v>13</v>
      </c>
      <c r="E247">
        <v>10126</v>
      </c>
      <c r="F247">
        <v>2019</v>
      </c>
      <c r="H247" t="str">
        <f t="shared" si="3"/>
        <v>13/2/2019</v>
      </c>
      <c r="I247" s="1">
        <v>43509</v>
      </c>
      <c r="K247" s="1"/>
    </row>
    <row r="248" spans="2:11" x14ac:dyDescent="0.25">
      <c r="B248" s="1" t="s">
        <v>77</v>
      </c>
      <c r="C248">
        <v>2</v>
      </c>
      <c r="D248">
        <v>18</v>
      </c>
      <c r="E248">
        <v>10295</v>
      </c>
      <c r="F248">
        <v>2019</v>
      </c>
      <c r="H248" t="str">
        <f t="shared" si="3"/>
        <v>18/2/2019</v>
      </c>
      <c r="I248" s="1">
        <v>43514</v>
      </c>
      <c r="K248" s="1"/>
    </row>
    <row r="249" spans="2:11" x14ac:dyDescent="0.25">
      <c r="B249" s="1">
        <v>43222</v>
      </c>
      <c r="C249">
        <v>2</v>
      </c>
      <c r="D249">
        <v>5</v>
      </c>
      <c r="E249">
        <v>10260</v>
      </c>
      <c r="F249">
        <v>2018</v>
      </c>
      <c r="H249" t="str">
        <f t="shared" si="3"/>
        <v>5/2/2018</v>
      </c>
      <c r="I249" s="1">
        <v>43136</v>
      </c>
      <c r="K249" s="1"/>
    </row>
    <row r="250" spans="2:11" x14ac:dyDescent="0.25">
      <c r="B250" s="1">
        <v>43739</v>
      </c>
      <c r="C250">
        <v>1</v>
      </c>
      <c r="D250">
        <v>10</v>
      </c>
      <c r="E250">
        <v>10233</v>
      </c>
      <c r="F250">
        <v>2019</v>
      </c>
      <c r="H250" t="str">
        <f t="shared" si="3"/>
        <v>10/1/2019</v>
      </c>
      <c r="I250" s="1">
        <v>43475</v>
      </c>
      <c r="K250" s="1"/>
    </row>
    <row r="251" spans="2:11" x14ac:dyDescent="0.25">
      <c r="B251" s="1" t="s">
        <v>431</v>
      </c>
      <c r="C251">
        <v>4</v>
      </c>
      <c r="D251">
        <v>20</v>
      </c>
      <c r="E251">
        <v>10229</v>
      </c>
      <c r="F251">
        <v>2015</v>
      </c>
      <c r="H251" t="str">
        <f t="shared" si="3"/>
        <v>20/4/2015</v>
      </c>
      <c r="I251" s="1">
        <v>42114</v>
      </c>
      <c r="K251" s="1"/>
    </row>
    <row r="252" spans="2:11" x14ac:dyDescent="0.25">
      <c r="B252" s="1" t="s">
        <v>77</v>
      </c>
      <c r="C252">
        <v>2</v>
      </c>
      <c r="D252">
        <v>18</v>
      </c>
      <c r="E252">
        <v>10169</v>
      </c>
      <c r="F252">
        <v>2019</v>
      </c>
      <c r="H252" t="str">
        <f t="shared" si="3"/>
        <v>18/2/2019</v>
      </c>
      <c r="I252" s="1">
        <v>43514</v>
      </c>
      <c r="K252" s="1"/>
    </row>
    <row r="253" spans="2:11" x14ac:dyDescent="0.25">
      <c r="B253" s="1">
        <v>43618</v>
      </c>
      <c r="C253">
        <v>2</v>
      </c>
      <c r="D253">
        <v>6</v>
      </c>
      <c r="E253">
        <v>10071</v>
      </c>
      <c r="F253">
        <v>2019</v>
      </c>
      <c r="H253" t="str">
        <f t="shared" si="3"/>
        <v>6/2/2019</v>
      </c>
      <c r="I253" s="1">
        <v>43502</v>
      </c>
      <c r="K253" s="1"/>
    </row>
    <row r="254" spans="2:11" x14ac:dyDescent="0.25">
      <c r="B254" s="1">
        <v>43647</v>
      </c>
      <c r="C254">
        <v>1</v>
      </c>
      <c r="D254">
        <v>7</v>
      </c>
      <c r="E254">
        <v>10179</v>
      </c>
      <c r="F254">
        <v>2019</v>
      </c>
      <c r="H254" t="str">
        <f t="shared" si="3"/>
        <v>7/1/2019</v>
      </c>
      <c r="I254" s="1">
        <v>43472</v>
      </c>
      <c r="K254" s="1"/>
    </row>
    <row r="255" spans="2:11" x14ac:dyDescent="0.25">
      <c r="B255" s="1" t="s">
        <v>270</v>
      </c>
      <c r="C255">
        <v>2</v>
      </c>
      <c r="D255">
        <v>15</v>
      </c>
      <c r="E255">
        <v>10091</v>
      </c>
      <c r="F255">
        <v>2019</v>
      </c>
      <c r="H255" t="str">
        <f t="shared" si="3"/>
        <v>15/2/2019</v>
      </c>
      <c r="I255" s="1">
        <v>43511</v>
      </c>
      <c r="K255" s="1"/>
    </row>
    <row r="256" spans="2:11" x14ac:dyDescent="0.25">
      <c r="B256" s="1" t="s">
        <v>97</v>
      </c>
      <c r="C256">
        <v>1</v>
      </c>
      <c r="D256">
        <v>14</v>
      </c>
      <c r="E256">
        <v>10178</v>
      </c>
      <c r="F256">
        <v>2019</v>
      </c>
      <c r="H256" t="str">
        <f t="shared" si="3"/>
        <v>14/1/2019</v>
      </c>
      <c r="I256" s="1">
        <v>43479</v>
      </c>
      <c r="K256" s="1"/>
    </row>
    <row r="257" spans="2:11" x14ac:dyDescent="0.25">
      <c r="B257" s="1" t="s">
        <v>129</v>
      </c>
      <c r="C257">
        <v>1</v>
      </c>
      <c r="D257">
        <v>15</v>
      </c>
      <c r="E257">
        <v>10039</v>
      </c>
      <c r="F257">
        <v>2019</v>
      </c>
      <c r="H257" t="str">
        <f t="shared" si="3"/>
        <v>15/1/2019</v>
      </c>
      <c r="I257" s="1">
        <v>43480</v>
      </c>
      <c r="K257" s="1"/>
    </row>
    <row r="258" spans="2:11" x14ac:dyDescent="0.25">
      <c r="B258" s="1">
        <v>42039</v>
      </c>
      <c r="C258">
        <v>4</v>
      </c>
      <c r="D258">
        <v>2</v>
      </c>
      <c r="E258">
        <v>10095</v>
      </c>
      <c r="F258">
        <v>2015</v>
      </c>
      <c r="H258" t="str">
        <f t="shared" ref="H258:H312" si="4">D258&amp;"/"&amp;C258&amp;"/"&amp;F258</f>
        <v>2/4/2015</v>
      </c>
      <c r="I258" s="1">
        <v>42096</v>
      </c>
      <c r="K258" s="1"/>
    </row>
    <row r="259" spans="2:11" x14ac:dyDescent="0.25">
      <c r="B259" s="1" t="s">
        <v>179</v>
      </c>
      <c r="C259">
        <v>1</v>
      </c>
      <c r="D259">
        <v>28</v>
      </c>
      <c r="E259">
        <v>10027</v>
      </c>
      <c r="F259">
        <v>2019</v>
      </c>
      <c r="H259" t="str">
        <f t="shared" si="4"/>
        <v>28/1/2019</v>
      </c>
      <c r="I259" s="1">
        <v>43493</v>
      </c>
      <c r="K259" s="1"/>
    </row>
    <row r="260" spans="2:11" x14ac:dyDescent="0.25">
      <c r="B260" s="1" t="s">
        <v>250</v>
      </c>
      <c r="C260">
        <v>1</v>
      </c>
      <c r="D260">
        <v>16</v>
      </c>
      <c r="E260">
        <v>10291</v>
      </c>
      <c r="F260">
        <v>2019</v>
      </c>
      <c r="H260" t="str">
        <f t="shared" si="4"/>
        <v>16/1/2019</v>
      </c>
      <c r="I260" s="1">
        <v>43481</v>
      </c>
      <c r="K260" s="1"/>
    </row>
    <row r="261" spans="2:11" x14ac:dyDescent="0.25">
      <c r="B261" s="1" t="s">
        <v>442</v>
      </c>
      <c r="C261">
        <v>8</v>
      </c>
      <c r="D261">
        <v>15</v>
      </c>
      <c r="E261">
        <v>10153</v>
      </c>
      <c r="F261">
        <v>2013</v>
      </c>
      <c r="H261" t="str">
        <f t="shared" si="4"/>
        <v>15/8/2013</v>
      </c>
      <c r="I261" s="1">
        <v>41501</v>
      </c>
      <c r="K261" s="1"/>
    </row>
    <row r="262" spans="2:11" x14ac:dyDescent="0.25">
      <c r="B262" s="1" t="s">
        <v>185</v>
      </c>
      <c r="C262">
        <v>1</v>
      </c>
      <c r="D262">
        <v>24</v>
      </c>
      <c r="E262">
        <v>10157</v>
      </c>
      <c r="F262">
        <v>2019</v>
      </c>
      <c r="H262" t="str">
        <f t="shared" si="4"/>
        <v>24/1/2019</v>
      </c>
      <c r="I262" s="1">
        <v>43489</v>
      </c>
      <c r="K262" s="1"/>
    </row>
    <row r="263" spans="2:11" x14ac:dyDescent="0.25">
      <c r="B263" s="1">
        <v>43679</v>
      </c>
      <c r="C263">
        <v>2</v>
      </c>
      <c r="D263">
        <v>8</v>
      </c>
      <c r="E263">
        <v>10119</v>
      </c>
      <c r="F263">
        <v>2019</v>
      </c>
      <c r="H263" t="str">
        <f t="shared" si="4"/>
        <v>8/2/2019</v>
      </c>
      <c r="I263" s="1">
        <v>43504</v>
      </c>
      <c r="K263" s="1"/>
    </row>
    <row r="264" spans="2:11" x14ac:dyDescent="0.25">
      <c r="B264" s="1" t="s">
        <v>97</v>
      </c>
      <c r="C264">
        <v>1</v>
      </c>
      <c r="D264">
        <v>14</v>
      </c>
      <c r="E264">
        <v>10180</v>
      </c>
      <c r="F264">
        <v>2019</v>
      </c>
      <c r="H264" t="str">
        <f t="shared" si="4"/>
        <v>14/1/2019</v>
      </c>
      <c r="I264" s="1">
        <v>43479</v>
      </c>
      <c r="K264" s="1"/>
    </row>
    <row r="265" spans="2:11" x14ac:dyDescent="0.25">
      <c r="B265" s="1" t="s">
        <v>68</v>
      </c>
      <c r="C265">
        <v>2</v>
      </c>
      <c r="D265">
        <v>25</v>
      </c>
      <c r="E265">
        <v>10302</v>
      </c>
      <c r="F265">
        <v>2019</v>
      </c>
      <c r="H265" t="str">
        <f t="shared" si="4"/>
        <v>25/2/2019</v>
      </c>
      <c r="I265" s="1">
        <v>43521</v>
      </c>
      <c r="K265" s="1"/>
    </row>
    <row r="266" spans="2:11" x14ac:dyDescent="0.25">
      <c r="B266" s="1" t="s">
        <v>90</v>
      </c>
      <c r="C266">
        <v>2</v>
      </c>
      <c r="D266">
        <v>14</v>
      </c>
      <c r="E266">
        <v>10090</v>
      </c>
      <c r="F266">
        <v>2019</v>
      </c>
      <c r="H266" t="str">
        <f t="shared" si="4"/>
        <v>14/2/2019</v>
      </c>
      <c r="I266" s="1">
        <v>43510</v>
      </c>
      <c r="K266" s="1"/>
    </row>
    <row r="267" spans="2:11" x14ac:dyDescent="0.25">
      <c r="B267" s="1">
        <v>42038</v>
      </c>
      <c r="C267">
        <v>3</v>
      </c>
      <c r="D267">
        <v>2</v>
      </c>
      <c r="E267">
        <v>10030</v>
      </c>
      <c r="F267">
        <v>2015</v>
      </c>
      <c r="H267" t="str">
        <f t="shared" si="4"/>
        <v>2/3/2015</v>
      </c>
      <c r="I267" s="1">
        <v>42065</v>
      </c>
      <c r="K267" s="1"/>
    </row>
    <row r="268" spans="2:11" x14ac:dyDescent="0.25">
      <c r="B268" s="1">
        <v>43648</v>
      </c>
      <c r="C268">
        <v>2</v>
      </c>
      <c r="D268">
        <v>7</v>
      </c>
      <c r="E268">
        <v>10278</v>
      </c>
      <c r="F268">
        <v>2019</v>
      </c>
      <c r="H268" t="str">
        <f t="shared" si="4"/>
        <v>7/2/2019</v>
      </c>
      <c r="I268" s="1">
        <v>43503</v>
      </c>
      <c r="K268" s="1"/>
    </row>
    <row r="269" spans="2:11" x14ac:dyDescent="0.25">
      <c r="B269" s="1" t="s">
        <v>33</v>
      </c>
      <c r="C269">
        <v>1</v>
      </c>
      <c r="D269">
        <v>17</v>
      </c>
      <c r="E269">
        <v>10307</v>
      </c>
      <c r="F269">
        <v>2019</v>
      </c>
      <c r="H269" t="str">
        <f t="shared" si="4"/>
        <v>17/1/2019</v>
      </c>
      <c r="I269" s="1">
        <v>43482</v>
      </c>
      <c r="K269" s="1"/>
    </row>
    <row r="270" spans="2:11" x14ac:dyDescent="0.25">
      <c r="B270" s="1" t="s">
        <v>208</v>
      </c>
      <c r="C270">
        <v>1</v>
      </c>
      <c r="D270">
        <v>18</v>
      </c>
      <c r="E270">
        <v>10147</v>
      </c>
      <c r="F270">
        <v>2019</v>
      </c>
      <c r="H270" t="str">
        <f t="shared" si="4"/>
        <v>18/1/2019</v>
      </c>
      <c r="I270" s="1">
        <v>43483</v>
      </c>
      <c r="K270" s="1"/>
    </row>
    <row r="271" spans="2:11" x14ac:dyDescent="0.25">
      <c r="B271" s="1">
        <v>43770</v>
      </c>
      <c r="C271">
        <v>1</v>
      </c>
      <c r="D271">
        <v>11</v>
      </c>
      <c r="E271">
        <v>10266</v>
      </c>
      <c r="F271">
        <v>2019</v>
      </c>
      <c r="H271" t="str">
        <f t="shared" si="4"/>
        <v>11/1/2019</v>
      </c>
      <c r="I271" s="1">
        <v>43476</v>
      </c>
      <c r="K271" s="1"/>
    </row>
    <row r="272" spans="2:11" x14ac:dyDescent="0.25">
      <c r="B272" s="1" t="s">
        <v>190</v>
      </c>
      <c r="C272">
        <v>1</v>
      </c>
      <c r="D272">
        <v>31</v>
      </c>
      <c r="E272">
        <v>10241</v>
      </c>
      <c r="F272">
        <v>2019</v>
      </c>
      <c r="H272" t="str">
        <f t="shared" si="4"/>
        <v>31/1/2019</v>
      </c>
      <c r="I272" s="1">
        <v>43496</v>
      </c>
      <c r="K272" s="1"/>
    </row>
    <row r="273" spans="2:11" x14ac:dyDescent="0.25">
      <c r="B273" s="1" t="s">
        <v>185</v>
      </c>
      <c r="C273">
        <v>1</v>
      </c>
      <c r="D273">
        <v>24</v>
      </c>
      <c r="E273">
        <v>10158</v>
      </c>
      <c r="F273">
        <v>2019</v>
      </c>
      <c r="H273" t="str">
        <f t="shared" si="4"/>
        <v>24/1/2019</v>
      </c>
      <c r="I273" s="1">
        <v>43489</v>
      </c>
      <c r="K273" s="1"/>
    </row>
    <row r="274" spans="2:11" x14ac:dyDescent="0.25">
      <c r="B274" s="1" t="s">
        <v>185</v>
      </c>
      <c r="C274">
        <v>1</v>
      </c>
      <c r="D274">
        <v>24</v>
      </c>
      <c r="E274">
        <v>10117</v>
      </c>
      <c r="F274">
        <v>2019</v>
      </c>
      <c r="H274" t="str">
        <f t="shared" si="4"/>
        <v>24/1/2019</v>
      </c>
      <c r="I274" s="1">
        <v>43489</v>
      </c>
      <c r="K274" s="1"/>
    </row>
    <row r="275" spans="2:11" x14ac:dyDescent="0.25">
      <c r="B275" s="1" t="s">
        <v>190</v>
      </c>
      <c r="C275">
        <v>1</v>
      </c>
      <c r="D275">
        <v>31</v>
      </c>
      <c r="E275">
        <v>10209</v>
      </c>
      <c r="F275">
        <v>2019</v>
      </c>
      <c r="H275" t="str">
        <f t="shared" si="4"/>
        <v>31/1/2019</v>
      </c>
      <c r="I275" s="1">
        <v>43496</v>
      </c>
      <c r="K275" s="1"/>
    </row>
    <row r="276" spans="2:11" x14ac:dyDescent="0.25">
      <c r="B276" s="1" t="s">
        <v>77</v>
      </c>
      <c r="C276">
        <v>2</v>
      </c>
      <c r="D276">
        <v>18</v>
      </c>
      <c r="E276">
        <v>10024</v>
      </c>
      <c r="F276">
        <v>2019</v>
      </c>
      <c r="H276" t="str">
        <f t="shared" si="4"/>
        <v>18/2/2019</v>
      </c>
      <c r="I276" s="1">
        <v>43514</v>
      </c>
      <c r="K276" s="1"/>
    </row>
    <row r="277" spans="2:11" x14ac:dyDescent="0.25">
      <c r="B277" s="1">
        <v>43497</v>
      </c>
      <c r="C277">
        <v>1</v>
      </c>
      <c r="D277">
        <v>2</v>
      </c>
      <c r="E277">
        <v>10173</v>
      </c>
      <c r="F277">
        <v>2019</v>
      </c>
      <c r="H277" t="str">
        <f t="shared" si="4"/>
        <v>2/1/2019</v>
      </c>
      <c r="I277" s="1">
        <v>43467</v>
      </c>
      <c r="K277" s="1"/>
    </row>
    <row r="278" spans="2:11" x14ac:dyDescent="0.25">
      <c r="B278" s="1" t="s">
        <v>360</v>
      </c>
      <c r="C278">
        <v>2</v>
      </c>
      <c r="D278">
        <v>15</v>
      </c>
      <c r="E278">
        <v>10221</v>
      </c>
      <c r="F278">
        <v>2012</v>
      </c>
      <c r="H278" t="str">
        <f t="shared" si="4"/>
        <v>15/2/2012</v>
      </c>
      <c r="I278" s="1">
        <v>40954</v>
      </c>
      <c r="K278" s="1"/>
    </row>
    <row r="279" spans="2:11" x14ac:dyDescent="0.25">
      <c r="B279" s="1" t="s">
        <v>461</v>
      </c>
      <c r="C279">
        <v>4</v>
      </c>
      <c r="D279">
        <v>18</v>
      </c>
      <c r="E279">
        <v>10146</v>
      </c>
      <c r="F279">
        <v>2017</v>
      </c>
      <c r="H279" t="str">
        <f t="shared" si="4"/>
        <v>18/4/2017</v>
      </c>
      <c r="I279" s="1">
        <v>42843</v>
      </c>
      <c r="K279" s="1"/>
    </row>
    <row r="280" spans="2:11" x14ac:dyDescent="0.25">
      <c r="B280" s="1" t="s">
        <v>179</v>
      </c>
      <c r="C280">
        <v>1</v>
      </c>
      <c r="D280">
        <v>28</v>
      </c>
      <c r="E280">
        <v>10161</v>
      </c>
      <c r="F280">
        <v>2019</v>
      </c>
      <c r="H280" t="str">
        <f t="shared" si="4"/>
        <v>28/1/2019</v>
      </c>
      <c r="I280" s="1">
        <v>43493</v>
      </c>
      <c r="K280" s="1"/>
    </row>
    <row r="281" spans="2:11" x14ac:dyDescent="0.25">
      <c r="B281" s="1">
        <v>42403</v>
      </c>
      <c r="C281">
        <v>3</v>
      </c>
      <c r="D281">
        <v>2</v>
      </c>
      <c r="E281">
        <v>10141</v>
      </c>
      <c r="F281">
        <v>2016</v>
      </c>
      <c r="H281" t="str">
        <f t="shared" si="4"/>
        <v>2/3/2016</v>
      </c>
      <c r="I281" s="1">
        <v>42431</v>
      </c>
      <c r="K281" s="1"/>
    </row>
    <row r="282" spans="2:11" x14ac:dyDescent="0.25">
      <c r="B282" s="1" t="s">
        <v>465</v>
      </c>
      <c r="C282">
        <v>7</v>
      </c>
      <c r="D282">
        <v>14</v>
      </c>
      <c r="E282">
        <v>10268</v>
      </c>
      <c r="F282">
        <v>2010</v>
      </c>
      <c r="H282" t="str">
        <f t="shared" si="4"/>
        <v>14/7/2010</v>
      </c>
      <c r="I282" s="1">
        <v>40373</v>
      </c>
      <c r="K282" s="1"/>
    </row>
    <row r="283" spans="2:11" x14ac:dyDescent="0.25">
      <c r="B283" s="1" t="s">
        <v>97</v>
      </c>
      <c r="C283">
        <v>1</v>
      </c>
      <c r="D283">
        <v>14</v>
      </c>
      <c r="E283">
        <v>10123</v>
      </c>
      <c r="F283">
        <v>2019</v>
      </c>
      <c r="H283" t="str">
        <f t="shared" si="4"/>
        <v>14/1/2019</v>
      </c>
      <c r="I283" s="1">
        <v>43479</v>
      </c>
      <c r="K283" s="1"/>
    </row>
    <row r="284" spans="2:11" x14ac:dyDescent="0.25">
      <c r="B284" s="1">
        <v>43556</v>
      </c>
      <c r="C284">
        <v>1</v>
      </c>
      <c r="D284">
        <v>4</v>
      </c>
      <c r="E284">
        <v>10013</v>
      </c>
      <c r="F284">
        <v>2019</v>
      </c>
      <c r="H284" t="str">
        <f t="shared" si="4"/>
        <v>4/1/2019</v>
      </c>
      <c r="I284" s="1">
        <v>43469</v>
      </c>
      <c r="K284" s="1"/>
    </row>
    <row r="285" spans="2:11" x14ac:dyDescent="0.25">
      <c r="B285" s="1">
        <v>43771</v>
      </c>
      <c r="C285">
        <v>2</v>
      </c>
      <c r="D285">
        <v>11</v>
      </c>
      <c r="E285">
        <v>10287</v>
      </c>
      <c r="F285">
        <v>2019</v>
      </c>
      <c r="H285" t="str">
        <f t="shared" si="4"/>
        <v>11/2/2019</v>
      </c>
      <c r="I285" s="1">
        <v>43507</v>
      </c>
      <c r="K285" s="1"/>
    </row>
    <row r="286" spans="2:11" x14ac:dyDescent="0.25">
      <c r="B286" s="1" t="s">
        <v>289</v>
      </c>
      <c r="C286">
        <v>4</v>
      </c>
      <c r="D286">
        <v>15</v>
      </c>
      <c r="E286">
        <v>10044</v>
      </c>
      <c r="F286">
        <v>2015</v>
      </c>
      <c r="H286" t="str">
        <f t="shared" si="4"/>
        <v>15/4/2015</v>
      </c>
      <c r="I286" s="1">
        <v>42109</v>
      </c>
      <c r="K286" s="1"/>
    </row>
    <row r="287" spans="2:11" x14ac:dyDescent="0.25">
      <c r="B287" s="1">
        <v>43071</v>
      </c>
      <c r="C287">
        <v>2</v>
      </c>
      <c r="D287">
        <v>12</v>
      </c>
      <c r="E287">
        <v>10102</v>
      </c>
      <c r="F287">
        <v>2017</v>
      </c>
      <c r="H287" t="str">
        <f t="shared" si="4"/>
        <v>12/2/2017</v>
      </c>
      <c r="I287" s="1">
        <v>42778</v>
      </c>
      <c r="K287" s="1"/>
    </row>
    <row r="288" spans="2:11" x14ac:dyDescent="0.25">
      <c r="B288" s="1">
        <v>41760</v>
      </c>
      <c r="C288">
        <v>1</v>
      </c>
      <c r="D288">
        <v>5</v>
      </c>
      <c r="E288">
        <v>10270</v>
      </c>
      <c r="F288">
        <v>2014</v>
      </c>
      <c r="H288" t="str">
        <f t="shared" si="4"/>
        <v>5/1/2014</v>
      </c>
      <c r="I288" s="1">
        <v>41644</v>
      </c>
      <c r="K288" s="1"/>
    </row>
    <row r="289" spans="2:11" x14ac:dyDescent="0.25">
      <c r="B289" s="1" t="s">
        <v>97</v>
      </c>
      <c r="C289">
        <v>1</v>
      </c>
      <c r="D289">
        <v>14</v>
      </c>
      <c r="E289">
        <v>10045</v>
      </c>
      <c r="F289">
        <v>2019</v>
      </c>
      <c r="H289" t="str">
        <f t="shared" si="4"/>
        <v>14/1/2019</v>
      </c>
      <c r="I289" s="1">
        <v>43479</v>
      </c>
      <c r="K289" s="1"/>
    </row>
    <row r="290" spans="2:11" x14ac:dyDescent="0.25">
      <c r="B290" s="1" t="s">
        <v>33</v>
      </c>
      <c r="C290">
        <v>1</v>
      </c>
      <c r="D290">
        <v>17</v>
      </c>
      <c r="E290">
        <v>10205</v>
      </c>
      <c r="F290">
        <v>2019</v>
      </c>
      <c r="H290" t="str">
        <f t="shared" si="4"/>
        <v>17/1/2019</v>
      </c>
      <c r="I290" s="1">
        <v>43482</v>
      </c>
      <c r="K290" s="1"/>
    </row>
    <row r="291" spans="2:11" x14ac:dyDescent="0.25">
      <c r="B291" s="1">
        <v>42371</v>
      </c>
      <c r="C291">
        <v>2</v>
      </c>
      <c r="D291">
        <v>1</v>
      </c>
      <c r="E291">
        <v>10014</v>
      </c>
      <c r="F291">
        <v>2016</v>
      </c>
      <c r="H291" t="str">
        <f t="shared" si="4"/>
        <v>1/2/2016</v>
      </c>
      <c r="I291" s="1">
        <v>42401</v>
      </c>
      <c r="K291" s="1"/>
    </row>
    <row r="292" spans="2:11" x14ac:dyDescent="0.25">
      <c r="B292" s="1" t="s">
        <v>109</v>
      </c>
      <c r="C292">
        <v>2</v>
      </c>
      <c r="D292">
        <v>27</v>
      </c>
      <c r="E292">
        <v>10144</v>
      </c>
      <c r="F292">
        <v>2019</v>
      </c>
      <c r="H292" t="str">
        <f t="shared" si="4"/>
        <v>27/2/2019</v>
      </c>
      <c r="I292" s="1">
        <v>43523</v>
      </c>
      <c r="K292" s="1"/>
    </row>
    <row r="293" spans="2:11" x14ac:dyDescent="0.25">
      <c r="B293" s="1" t="s">
        <v>208</v>
      </c>
      <c r="C293">
        <v>1</v>
      </c>
      <c r="D293">
        <v>18</v>
      </c>
      <c r="E293">
        <v>10253</v>
      </c>
      <c r="F293">
        <v>2019</v>
      </c>
      <c r="H293" t="str">
        <f t="shared" si="4"/>
        <v>18/1/2019</v>
      </c>
      <c r="I293" s="1">
        <v>43483</v>
      </c>
      <c r="K293" s="1"/>
    </row>
    <row r="294" spans="2:11" x14ac:dyDescent="0.25">
      <c r="B294" s="1" t="s">
        <v>200</v>
      </c>
      <c r="C294">
        <v>2</v>
      </c>
      <c r="D294">
        <v>15</v>
      </c>
      <c r="E294">
        <v>10118</v>
      </c>
      <c r="F294">
        <v>2017</v>
      </c>
      <c r="H294" t="str">
        <f t="shared" si="4"/>
        <v>15/2/2017</v>
      </c>
      <c r="I294" s="1">
        <v>42781</v>
      </c>
      <c r="K294" s="1"/>
    </row>
    <row r="295" spans="2:11" x14ac:dyDescent="0.25">
      <c r="B295" s="1">
        <v>42006</v>
      </c>
      <c r="C295">
        <v>2</v>
      </c>
      <c r="D295">
        <v>1</v>
      </c>
      <c r="E295">
        <v>10022</v>
      </c>
      <c r="F295">
        <v>2015</v>
      </c>
      <c r="H295" t="str">
        <f t="shared" si="4"/>
        <v>1/2/2015</v>
      </c>
      <c r="I295" s="1">
        <v>42036</v>
      </c>
      <c r="K295" s="1"/>
    </row>
    <row r="296" spans="2:11" x14ac:dyDescent="0.25">
      <c r="B296" s="1" t="s">
        <v>206</v>
      </c>
      <c r="C296">
        <v>1</v>
      </c>
      <c r="D296">
        <v>29</v>
      </c>
      <c r="E296">
        <v>10183</v>
      </c>
      <c r="F296">
        <v>2019</v>
      </c>
      <c r="H296" t="str">
        <f t="shared" si="4"/>
        <v>29/1/2019</v>
      </c>
      <c r="I296" s="1">
        <v>43494</v>
      </c>
      <c r="K296" s="1"/>
    </row>
    <row r="297" spans="2:11" x14ac:dyDescent="0.25">
      <c r="B297" s="1">
        <v>43801</v>
      </c>
      <c r="C297">
        <v>2</v>
      </c>
      <c r="D297">
        <v>12</v>
      </c>
      <c r="E297">
        <v>10190</v>
      </c>
      <c r="F297">
        <v>2019</v>
      </c>
      <c r="H297" t="str">
        <f t="shared" si="4"/>
        <v>12/2/2019</v>
      </c>
      <c r="I297" s="1">
        <v>43508</v>
      </c>
      <c r="K297" s="1"/>
    </row>
    <row r="298" spans="2:11" x14ac:dyDescent="0.25">
      <c r="B298" s="1">
        <v>40940</v>
      </c>
      <c r="C298">
        <v>1</v>
      </c>
      <c r="D298">
        <v>2</v>
      </c>
      <c r="E298">
        <v>10274</v>
      </c>
      <c r="F298">
        <v>2012</v>
      </c>
      <c r="H298" t="str">
        <f t="shared" si="4"/>
        <v>2/1/2012</v>
      </c>
      <c r="I298" s="1">
        <v>40910</v>
      </c>
      <c r="K298" s="1"/>
    </row>
    <row r="299" spans="2:11" x14ac:dyDescent="0.25">
      <c r="B299" s="1">
        <v>41768</v>
      </c>
      <c r="C299">
        <v>9</v>
      </c>
      <c r="D299">
        <v>5</v>
      </c>
      <c r="E299">
        <v>10293</v>
      </c>
      <c r="F299">
        <v>2014</v>
      </c>
      <c r="H299" t="str">
        <f t="shared" si="4"/>
        <v>5/9/2014</v>
      </c>
      <c r="I299" s="1">
        <v>41887</v>
      </c>
      <c r="K299" s="1"/>
    </row>
    <row r="300" spans="2:11" x14ac:dyDescent="0.25">
      <c r="B300" s="1">
        <v>43556</v>
      </c>
      <c r="C300">
        <v>1</v>
      </c>
      <c r="D300">
        <v>4</v>
      </c>
      <c r="E300">
        <v>10172</v>
      </c>
      <c r="F300">
        <v>2019</v>
      </c>
      <c r="H300" t="str">
        <f t="shared" si="4"/>
        <v>4/1/2019</v>
      </c>
      <c r="I300" s="1">
        <v>43469</v>
      </c>
      <c r="K300" s="1"/>
    </row>
    <row r="301" spans="2:11" x14ac:dyDescent="0.25">
      <c r="B301" s="1">
        <v>43587</v>
      </c>
      <c r="C301">
        <v>2</v>
      </c>
      <c r="D301">
        <v>5</v>
      </c>
      <c r="E301">
        <v>10127</v>
      </c>
      <c r="F301">
        <v>2019</v>
      </c>
      <c r="H301" t="str">
        <f t="shared" si="4"/>
        <v>5/2/2019</v>
      </c>
      <c r="I301" s="1">
        <v>43501</v>
      </c>
      <c r="K301" s="1"/>
    </row>
    <row r="302" spans="2:11" x14ac:dyDescent="0.25">
      <c r="B302" s="1" t="s">
        <v>487</v>
      </c>
      <c r="C302">
        <v>5</v>
      </c>
      <c r="D302">
        <v>15</v>
      </c>
      <c r="E302">
        <v>10072</v>
      </c>
      <c r="F302">
        <v>2014</v>
      </c>
      <c r="H302" t="str">
        <f t="shared" si="4"/>
        <v>15/5/2014</v>
      </c>
      <c r="I302" s="1">
        <v>41774</v>
      </c>
      <c r="K302" s="1"/>
    </row>
    <row r="303" spans="2:11" x14ac:dyDescent="0.25">
      <c r="B303" s="1" t="s">
        <v>320</v>
      </c>
      <c r="C303">
        <v>2</v>
      </c>
      <c r="D303">
        <v>15</v>
      </c>
      <c r="E303">
        <v>10048</v>
      </c>
      <c r="F303">
        <v>2015</v>
      </c>
      <c r="H303" t="str">
        <f t="shared" si="4"/>
        <v>15/2/2015</v>
      </c>
      <c r="I303" s="1">
        <v>42050</v>
      </c>
      <c r="K303" s="1"/>
    </row>
    <row r="304" spans="2:11" x14ac:dyDescent="0.25">
      <c r="B304" s="1">
        <v>40696</v>
      </c>
      <c r="C304">
        <v>2</v>
      </c>
      <c r="D304">
        <v>6</v>
      </c>
      <c r="E304">
        <v>10204</v>
      </c>
      <c r="F304">
        <v>2011</v>
      </c>
      <c r="H304" t="str">
        <f t="shared" si="4"/>
        <v>6/2/2011</v>
      </c>
      <c r="I304" s="1">
        <v>40580</v>
      </c>
      <c r="K304" s="1"/>
    </row>
    <row r="305" spans="2:11" x14ac:dyDescent="0.25">
      <c r="B305" s="1">
        <v>41676</v>
      </c>
      <c r="C305">
        <v>6</v>
      </c>
      <c r="D305">
        <v>2</v>
      </c>
      <c r="E305">
        <v>10264</v>
      </c>
      <c r="F305">
        <v>2014</v>
      </c>
      <c r="H305" t="str">
        <f t="shared" si="4"/>
        <v>2/6/2014</v>
      </c>
      <c r="I305" s="1">
        <v>41792</v>
      </c>
      <c r="K305" s="1"/>
    </row>
    <row r="306" spans="2:11" x14ac:dyDescent="0.25">
      <c r="B306" s="1" t="s">
        <v>492</v>
      </c>
      <c r="C306">
        <v>1</v>
      </c>
      <c r="D306">
        <v>19</v>
      </c>
      <c r="E306">
        <v>10033</v>
      </c>
      <c r="F306">
        <v>2016</v>
      </c>
      <c r="H306" t="str">
        <f t="shared" si="4"/>
        <v>19/1/2016</v>
      </c>
      <c r="I306" s="1">
        <v>42388</v>
      </c>
      <c r="K306" s="1"/>
    </row>
    <row r="307" spans="2:11" x14ac:dyDescent="0.25">
      <c r="B307" s="1" t="s">
        <v>139</v>
      </c>
      <c r="C307">
        <v>2</v>
      </c>
      <c r="D307">
        <v>21</v>
      </c>
      <c r="E307">
        <v>10174</v>
      </c>
      <c r="F307">
        <v>2019</v>
      </c>
      <c r="H307" t="str">
        <f t="shared" si="4"/>
        <v>21/2/2019</v>
      </c>
      <c r="I307" s="1">
        <v>43517</v>
      </c>
      <c r="K307" s="1"/>
    </row>
    <row r="308" spans="2:11" x14ac:dyDescent="0.25">
      <c r="B308" s="1" t="s">
        <v>169</v>
      </c>
      <c r="C308">
        <v>2</v>
      </c>
      <c r="D308">
        <v>28</v>
      </c>
      <c r="E308">
        <v>10135</v>
      </c>
      <c r="F308">
        <v>2019</v>
      </c>
      <c r="H308" t="str">
        <f t="shared" si="4"/>
        <v>28/2/2019</v>
      </c>
      <c r="I308" s="1">
        <v>43524</v>
      </c>
      <c r="K308" s="1"/>
    </row>
    <row r="309" spans="2:11" x14ac:dyDescent="0.25">
      <c r="B309" s="1">
        <v>42044</v>
      </c>
      <c r="C309">
        <v>9</v>
      </c>
      <c r="D309">
        <v>2</v>
      </c>
      <c r="E309">
        <v>10301</v>
      </c>
      <c r="F309">
        <v>2015</v>
      </c>
      <c r="H309" t="str">
        <f t="shared" si="4"/>
        <v>2/9/2015</v>
      </c>
      <c r="I309" s="1">
        <v>42249</v>
      </c>
      <c r="K309" s="1"/>
    </row>
    <row r="310" spans="2:11" x14ac:dyDescent="0.25">
      <c r="B310" s="1" t="s">
        <v>139</v>
      </c>
      <c r="C310">
        <v>2</v>
      </c>
      <c r="D310">
        <v>21</v>
      </c>
      <c r="E310">
        <v>10010</v>
      </c>
      <c r="F310">
        <v>2019</v>
      </c>
      <c r="H310" t="str">
        <f t="shared" si="4"/>
        <v>21/2/2019</v>
      </c>
      <c r="I310" s="1">
        <v>43517</v>
      </c>
      <c r="K310" s="1"/>
    </row>
    <row r="311" spans="2:11" x14ac:dyDescent="0.25">
      <c r="B311" s="1">
        <v>43467</v>
      </c>
      <c r="C311">
        <v>2</v>
      </c>
      <c r="D311">
        <v>1</v>
      </c>
      <c r="E311">
        <v>10043</v>
      </c>
      <c r="F311">
        <v>2019</v>
      </c>
      <c r="H311" t="str">
        <f t="shared" si="4"/>
        <v>1/2/2019</v>
      </c>
      <c r="I311" s="1">
        <v>43497</v>
      </c>
      <c r="K311" s="1"/>
    </row>
    <row r="312" spans="2:11" x14ac:dyDescent="0.25">
      <c r="B312" s="1" t="s">
        <v>147</v>
      </c>
      <c r="C312">
        <v>1</v>
      </c>
      <c r="D312">
        <v>30</v>
      </c>
      <c r="E312">
        <v>10271</v>
      </c>
      <c r="F312">
        <v>2019</v>
      </c>
      <c r="H312" t="str">
        <f t="shared" si="4"/>
        <v>30/1/2019</v>
      </c>
      <c r="I312" s="1">
        <v>43495</v>
      </c>
      <c r="K312" s="1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709B-5293-4ED3-98E0-5E678ACA2386}">
  <dimension ref="A1:AH381"/>
  <sheetViews>
    <sheetView zoomScaleNormal="100" workbookViewId="0">
      <selection activeCell="AJ1" sqref="AJ1"/>
    </sheetView>
  </sheetViews>
  <sheetFormatPr defaultRowHeight="15" x14ac:dyDescent="0.25"/>
  <cols>
    <col min="1" max="1" width="28.7109375" bestFit="1" customWidth="1"/>
    <col min="2" max="2" width="16.140625" bestFit="1" customWidth="1"/>
    <col min="3" max="3" width="18.7109375" bestFit="1" customWidth="1"/>
    <col min="5" max="5" width="13.140625" bestFit="1" customWidth="1"/>
    <col min="6" max="6" width="16.140625" bestFit="1" customWidth="1"/>
    <col min="7" max="7" width="18.7109375" bestFit="1" customWidth="1"/>
    <col min="9" max="9" width="18.140625" bestFit="1" customWidth="1"/>
    <col min="10" max="10" width="16.140625" bestFit="1" customWidth="1"/>
    <col min="11" max="11" width="18.7109375" bestFit="1" customWidth="1"/>
    <col min="13" max="13" width="29.42578125" bestFit="1" customWidth="1"/>
    <col min="14" max="14" width="16.140625" bestFit="1" customWidth="1"/>
    <col min="15" max="15" width="18.7109375" bestFit="1" customWidth="1"/>
    <col min="17" max="17" width="18" bestFit="1" customWidth="1"/>
    <col min="18" max="18" width="16.140625" bestFit="1" customWidth="1"/>
    <col min="19" max="19" width="18.7109375" bestFit="1" customWidth="1"/>
    <col min="21" max="21" width="13.140625" bestFit="1" customWidth="1"/>
    <col min="22" max="22" width="16.140625" bestFit="1" customWidth="1"/>
    <col min="23" max="23" width="18.7109375" bestFit="1" customWidth="1"/>
    <col min="25" max="25" width="16.42578125" bestFit="1" customWidth="1"/>
    <col min="26" max="26" width="17.7109375" bestFit="1" customWidth="1"/>
    <col min="27" max="27" width="16.140625" bestFit="1" customWidth="1"/>
    <col min="29" max="29" width="14.42578125" bestFit="1" customWidth="1"/>
    <col min="30" max="30" width="16.140625" bestFit="1" customWidth="1"/>
    <col min="31" max="31" width="17.7109375" bestFit="1" customWidth="1"/>
    <col min="33" max="33" width="13.140625" bestFit="1" customWidth="1"/>
    <col min="34" max="34" width="17.7109375" bestFit="1" customWidth="1"/>
  </cols>
  <sheetData>
    <row r="1" spans="1:34" x14ac:dyDescent="0.25">
      <c r="A1" s="2" t="s">
        <v>503</v>
      </c>
      <c r="B1" t="s">
        <v>505</v>
      </c>
      <c r="C1" t="s">
        <v>559</v>
      </c>
      <c r="E1" s="2" t="s">
        <v>503</v>
      </c>
      <c r="F1" t="s">
        <v>505</v>
      </c>
      <c r="G1" t="s">
        <v>559</v>
      </c>
      <c r="I1" s="2" t="s">
        <v>503</v>
      </c>
      <c r="J1" t="s">
        <v>505</v>
      </c>
      <c r="K1" t="s">
        <v>559</v>
      </c>
      <c r="M1" s="2" t="s">
        <v>503</v>
      </c>
      <c r="N1" t="s">
        <v>505</v>
      </c>
      <c r="O1" t="s">
        <v>559</v>
      </c>
      <c r="Q1" s="2" t="s">
        <v>503</v>
      </c>
      <c r="R1" t="s">
        <v>505</v>
      </c>
      <c r="S1" t="s">
        <v>559</v>
      </c>
      <c r="U1" s="2" t="s">
        <v>503</v>
      </c>
      <c r="V1" t="s">
        <v>505</v>
      </c>
      <c r="W1" t="s">
        <v>559</v>
      </c>
      <c r="Y1" s="2" t="s">
        <v>503</v>
      </c>
      <c r="Z1" t="s">
        <v>506</v>
      </c>
      <c r="AA1" t="s">
        <v>505</v>
      </c>
      <c r="AC1" s="2" t="s">
        <v>503</v>
      </c>
      <c r="AD1" t="s">
        <v>505</v>
      </c>
      <c r="AE1" t="s">
        <v>506</v>
      </c>
      <c r="AG1" s="2" t="s">
        <v>503</v>
      </c>
      <c r="AH1" t="s">
        <v>506</v>
      </c>
    </row>
    <row r="2" spans="1:34" x14ac:dyDescent="0.25">
      <c r="A2" s="3" t="s">
        <v>22</v>
      </c>
      <c r="B2">
        <v>1400</v>
      </c>
      <c r="C2">
        <v>137</v>
      </c>
      <c r="E2" s="3" t="s">
        <v>543</v>
      </c>
      <c r="F2">
        <v>216</v>
      </c>
      <c r="G2">
        <v>19</v>
      </c>
      <c r="I2" s="3" t="s">
        <v>47</v>
      </c>
      <c r="J2">
        <v>1806</v>
      </c>
      <c r="K2">
        <v>176</v>
      </c>
      <c r="M2" s="3" t="s">
        <v>27</v>
      </c>
      <c r="N2">
        <v>2035</v>
      </c>
      <c r="O2">
        <v>207</v>
      </c>
      <c r="Q2" s="3" t="s">
        <v>89</v>
      </c>
      <c r="R2">
        <v>250</v>
      </c>
      <c r="S2">
        <v>22</v>
      </c>
      <c r="U2" s="3" t="s">
        <v>549</v>
      </c>
      <c r="V2">
        <v>15</v>
      </c>
      <c r="W2">
        <v>1</v>
      </c>
      <c r="Y2" s="4">
        <v>40373</v>
      </c>
      <c r="Z2">
        <v>1</v>
      </c>
      <c r="AA2">
        <v>15</v>
      </c>
      <c r="AC2" s="3" t="s">
        <v>550</v>
      </c>
      <c r="AG2" s="3"/>
      <c r="AH2">
        <v>207</v>
      </c>
    </row>
    <row r="3" spans="1:34" x14ac:dyDescent="0.25">
      <c r="A3" s="3" t="s">
        <v>46</v>
      </c>
      <c r="B3">
        <v>585</v>
      </c>
      <c r="C3">
        <v>57</v>
      </c>
      <c r="E3" s="3" t="s">
        <v>539</v>
      </c>
      <c r="F3">
        <v>213</v>
      </c>
      <c r="G3">
        <v>21</v>
      </c>
      <c r="I3" s="3" t="s">
        <v>23</v>
      </c>
      <c r="J3">
        <v>1378</v>
      </c>
      <c r="K3">
        <v>135</v>
      </c>
      <c r="M3" s="3" t="s">
        <v>79</v>
      </c>
      <c r="N3">
        <v>209</v>
      </c>
      <c r="O3">
        <v>20</v>
      </c>
      <c r="Q3" s="3" t="s">
        <v>56</v>
      </c>
      <c r="R3">
        <v>249</v>
      </c>
      <c r="S3">
        <v>21</v>
      </c>
      <c r="U3" s="5" t="s">
        <v>510</v>
      </c>
      <c r="V3">
        <v>15</v>
      </c>
      <c r="W3">
        <v>1</v>
      </c>
      <c r="Y3" s="5" t="s">
        <v>561</v>
      </c>
      <c r="Z3">
        <v>1</v>
      </c>
      <c r="AA3">
        <v>15</v>
      </c>
      <c r="AC3" s="6">
        <v>43369</v>
      </c>
      <c r="AD3">
        <v>16</v>
      </c>
      <c r="AE3">
        <v>1</v>
      </c>
      <c r="AG3" s="4">
        <v>40420</v>
      </c>
      <c r="AH3">
        <v>1</v>
      </c>
    </row>
    <row r="4" spans="1:34" x14ac:dyDescent="0.25">
      <c r="A4" s="3" t="s">
        <v>135</v>
      </c>
      <c r="B4">
        <v>313</v>
      </c>
      <c r="C4">
        <v>27</v>
      </c>
      <c r="E4" s="3" t="s">
        <v>535</v>
      </c>
      <c r="F4">
        <v>208</v>
      </c>
      <c r="G4">
        <v>19</v>
      </c>
      <c r="I4" s="3" t="s">
        <v>504</v>
      </c>
      <c r="J4">
        <v>3184</v>
      </c>
      <c r="K4">
        <v>311</v>
      </c>
      <c r="M4" s="3" t="s">
        <v>83</v>
      </c>
      <c r="N4">
        <v>149</v>
      </c>
      <c r="O4">
        <v>14</v>
      </c>
      <c r="Q4" s="3" t="s">
        <v>30</v>
      </c>
      <c r="R4">
        <v>240</v>
      </c>
      <c r="S4">
        <v>22</v>
      </c>
      <c r="U4" s="3" t="s">
        <v>550</v>
      </c>
      <c r="V4">
        <v>35</v>
      </c>
      <c r="W4">
        <v>4</v>
      </c>
      <c r="Y4" s="8">
        <v>40420</v>
      </c>
      <c r="Z4">
        <v>1</v>
      </c>
      <c r="AA4">
        <v>15</v>
      </c>
      <c r="AC4" s="6">
        <v>43331</v>
      </c>
      <c r="AD4">
        <v>17</v>
      </c>
      <c r="AE4">
        <v>1</v>
      </c>
      <c r="AG4" s="4">
        <v>40693</v>
      </c>
      <c r="AH4">
        <v>1</v>
      </c>
    </row>
    <row r="5" spans="1:34" x14ac:dyDescent="0.25">
      <c r="A5" s="3" t="s">
        <v>122</v>
      </c>
      <c r="B5">
        <v>120</v>
      </c>
      <c r="C5">
        <v>14</v>
      </c>
      <c r="E5" s="3" t="s">
        <v>542</v>
      </c>
      <c r="F5">
        <v>204</v>
      </c>
      <c r="G5">
        <v>21</v>
      </c>
      <c r="M5" s="3" t="s">
        <v>196</v>
      </c>
      <c r="N5">
        <v>138</v>
      </c>
      <c r="O5">
        <v>11</v>
      </c>
      <c r="Q5" s="3" t="s">
        <v>49</v>
      </c>
      <c r="R5">
        <v>233</v>
      </c>
      <c r="S5">
        <v>22</v>
      </c>
      <c r="U5" s="5" t="s">
        <v>508</v>
      </c>
      <c r="V5">
        <v>19</v>
      </c>
      <c r="W5">
        <v>2</v>
      </c>
      <c r="Y5" s="4">
        <v>40580</v>
      </c>
      <c r="Z5">
        <v>1</v>
      </c>
      <c r="AA5">
        <v>9</v>
      </c>
      <c r="AC5" s="6">
        <v>43325</v>
      </c>
      <c r="AD5">
        <v>4</v>
      </c>
      <c r="AE5">
        <v>1</v>
      </c>
      <c r="AG5" s="4">
        <v>40812</v>
      </c>
      <c r="AH5">
        <v>1</v>
      </c>
    </row>
    <row r="6" spans="1:34" x14ac:dyDescent="0.25">
      <c r="A6" s="3" t="s">
        <v>61</v>
      </c>
      <c r="B6">
        <v>92</v>
      </c>
      <c r="C6">
        <v>10</v>
      </c>
      <c r="E6" s="3" t="s">
        <v>544</v>
      </c>
      <c r="F6">
        <v>189</v>
      </c>
      <c r="G6">
        <v>18</v>
      </c>
      <c r="I6" s="2" t="s">
        <v>503</v>
      </c>
      <c r="J6" t="s">
        <v>505</v>
      </c>
      <c r="K6" t="s">
        <v>559</v>
      </c>
      <c r="M6" s="3" t="s">
        <v>94</v>
      </c>
      <c r="N6">
        <v>98</v>
      </c>
      <c r="O6">
        <v>7</v>
      </c>
      <c r="Q6" s="3" t="s">
        <v>80</v>
      </c>
      <c r="R6">
        <v>218</v>
      </c>
      <c r="S6">
        <v>21</v>
      </c>
      <c r="U6" s="5" t="s">
        <v>512</v>
      </c>
      <c r="V6">
        <v>6</v>
      </c>
      <c r="W6">
        <v>1</v>
      </c>
      <c r="Y6" s="5" t="s">
        <v>550</v>
      </c>
      <c r="Z6">
        <v>1</v>
      </c>
      <c r="AA6">
        <v>9</v>
      </c>
      <c r="AC6" s="6">
        <v>43255</v>
      </c>
      <c r="AD6">
        <v>14</v>
      </c>
      <c r="AE6">
        <v>1</v>
      </c>
      <c r="AG6" s="4">
        <v>40838</v>
      </c>
      <c r="AH6">
        <v>1</v>
      </c>
    </row>
    <row r="7" spans="1:34" x14ac:dyDescent="0.25">
      <c r="A7" s="3" t="s">
        <v>75</v>
      </c>
      <c r="B7">
        <v>99</v>
      </c>
      <c r="C7">
        <v>8</v>
      </c>
      <c r="E7" s="3" t="s">
        <v>540</v>
      </c>
      <c r="F7">
        <v>185</v>
      </c>
      <c r="G7">
        <v>16</v>
      </c>
      <c r="I7" s="3" t="s">
        <v>36</v>
      </c>
      <c r="J7">
        <v>1355</v>
      </c>
      <c r="K7">
        <v>124</v>
      </c>
      <c r="M7" s="3" t="s">
        <v>38</v>
      </c>
      <c r="N7">
        <v>93</v>
      </c>
      <c r="O7">
        <v>9</v>
      </c>
      <c r="Q7" s="3" t="s">
        <v>71</v>
      </c>
      <c r="R7">
        <v>202</v>
      </c>
      <c r="S7">
        <v>22</v>
      </c>
      <c r="U7" s="5" t="s">
        <v>514</v>
      </c>
      <c r="V7">
        <v>10</v>
      </c>
      <c r="W7">
        <v>1</v>
      </c>
      <c r="Y7" s="4">
        <v>40608</v>
      </c>
      <c r="Z7">
        <v>1</v>
      </c>
      <c r="AA7">
        <v>10</v>
      </c>
      <c r="AC7" s="6">
        <v>43219</v>
      </c>
      <c r="AD7">
        <v>9</v>
      </c>
      <c r="AE7">
        <v>1</v>
      </c>
      <c r="AG7" s="4">
        <v>40910</v>
      </c>
      <c r="AH7">
        <v>1</v>
      </c>
    </row>
    <row r="8" spans="1:34" x14ac:dyDescent="0.25">
      <c r="A8" s="3" t="s">
        <v>85</v>
      </c>
      <c r="B8">
        <v>88</v>
      </c>
      <c r="C8">
        <v>7</v>
      </c>
      <c r="E8" s="3" t="s">
        <v>537</v>
      </c>
      <c r="F8">
        <v>174</v>
      </c>
      <c r="G8">
        <v>14</v>
      </c>
      <c r="I8" s="3" t="s">
        <v>24</v>
      </c>
      <c r="J8">
        <v>1339</v>
      </c>
      <c r="K8">
        <v>137</v>
      </c>
      <c r="M8" s="3" t="s">
        <v>48</v>
      </c>
      <c r="N8">
        <v>79</v>
      </c>
      <c r="O8">
        <v>8</v>
      </c>
      <c r="Q8" s="3" t="s">
        <v>52</v>
      </c>
      <c r="R8">
        <v>201</v>
      </c>
      <c r="S8">
        <v>22</v>
      </c>
      <c r="U8" s="3" t="s">
        <v>551</v>
      </c>
      <c r="V8">
        <v>115</v>
      </c>
      <c r="W8">
        <v>11</v>
      </c>
      <c r="Y8" s="5" t="s">
        <v>549</v>
      </c>
      <c r="Z8">
        <v>1</v>
      </c>
      <c r="AA8">
        <v>10</v>
      </c>
      <c r="AC8" s="6">
        <v>43197</v>
      </c>
      <c r="AD8">
        <v>19</v>
      </c>
      <c r="AE8">
        <v>1</v>
      </c>
      <c r="AG8" s="4">
        <v>40947</v>
      </c>
      <c r="AH8">
        <v>1</v>
      </c>
    </row>
    <row r="9" spans="1:34" x14ac:dyDescent="0.25">
      <c r="A9" s="3" t="s">
        <v>101</v>
      </c>
      <c r="B9">
        <v>33</v>
      </c>
      <c r="C9">
        <v>5</v>
      </c>
      <c r="E9" s="3" t="s">
        <v>545</v>
      </c>
      <c r="F9">
        <v>162</v>
      </c>
      <c r="G9">
        <v>14</v>
      </c>
      <c r="I9" s="3" t="s">
        <v>54</v>
      </c>
      <c r="J9">
        <v>300</v>
      </c>
      <c r="K9">
        <v>30</v>
      </c>
      <c r="M9" s="3" t="s">
        <v>161</v>
      </c>
      <c r="N9">
        <v>62</v>
      </c>
      <c r="O9">
        <v>5</v>
      </c>
      <c r="Q9" s="3" t="s">
        <v>59</v>
      </c>
      <c r="R9">
        <v>200</v>
      </c>
      <c r="S9">
        <v>21</v>
      </c>
      <c r="U9" s="3" t="s">
        <v>552</v>
      </c>
      <c r="V9">
        <v>237</v>
      </c>
      <c r="W9">
        <v>17</v>
      </c>
      <c r="Y9" s="4">
        <v>40667</v>
      </c>
      <c r="Z9">
        <v>1</v>
      </c>
      <c r="AA9">
        <v>6</v>
      </c>
      <c r="AC9" s="6">
        <v>43097</v>
      </c>
      <c r="AD9">
        <v>15</v>
      </c>
      <c r="AE9">
        <v>1</v>
      </c>
      <c r="AG9" s="4">
        <v>41006</v>
      </c>
      <c r="AH9">
        <v>1</v>
      </c>
    </row>
    <row r="10" spans="1:34" x14ac:dyDescent="0.25">
      <c r="A10" s="3" t="s">
        <v>233</v>
      </c>
      <c r="B10">
        <v>34</v>
      </c>
      <c r="C10">
        <v>5</v>
      </c>
      <c r="E10" s="3" t="s">
        <v>526</v>
      </c>
      <c r="F10">
        <v>122</v>
      </c>
      <c r="G10">
        <v>12</v>
      </c>
      <c r="I10" s="3" t="s">
        <v>132</v>
      </c>
      <c r="J10">
        <v>103</v>
      </c>
      <c r="K10">
        <v>12</v>
      </c>
      <c r="M10" s="3" t="s">
        <v>218</v>
      </c>
      <c r="N10">
        <v>53</v>
      </c>
      <c r="O10">
        <v>4</v>
      </c>
      <c r="Q10" s="3" t="s">
        <v>124</v>
      </c>
      <c r="R10">
        <v>194</v>
      </c>
      <c r="S10">
        <v>19</v>
      </c>
      <c r="U10" s="5" t="s">
        <v>508</v>
      </c>
      <c r="V10">
        <v>150</v>
      </c>
      <c r="W10">
        <v>12</v>
      </c>
      <c r="Y10" s="5" t="s">
        <v>549</v>
      </c>
      <c r="Z10">
        <v>1</v>
      </c>
      <c r="AA10">
        <v>6</v>
      </c>
      <c r="AC10" s="6">
        <v>42951</v>
      </c>
      <c r="AD10">
        <v>20</v>
      </c>
      <c r="AE10">
        <v>1</v>
      </c>
      <c r="AG10" s="4">
        <v>41043</v>
      </c>
      <c r="AH10">
        <v>1</v>
      </c>
    </row>
    <row r="11" spans="1:34" x14ac:dyDescent="0.25">
      <c r="A11" s="3" t="s">
        <v>181</v>
      </c>
      <c r="B11">
        <v>51</v>
      </c>
      <c r="C11">
        <v>5</v>
      </c>
      <c r="E11" s="3" t="s">
        <v>529</v>
      </c>
      <c r="F11">
        <v>119</v>
      </c>
      <c r="G11">
        <v>9</v>
      </c>
      <c r="I11" s="3" t="s">
        <v>65</v>
      </c>
      <c r="J11">
        <v>87</v>
      </c>
      <c r="K11">
        <v>8</v>
      </c>
      <c r="M11" s="3" t="s">
        <v>55</v>
      </c>
      <c r="N11">
        <v>49</v>
      </c>
      <c r="O11">
        <v>5</v>
      </c>
      <c r="Q11" s="3" t="s">
        <v>66</v>
      </c>
      <c r="R11">
        <v>192</v>
      </c>
      <c r="S11">
        <v>21</v>
      </c>
      <c r="U11" s="5" t="s">
        <v>512</v>
      </c>
      <c r="V11">
        <v>53</v>
      </c>
      <c r="W11">
        <v>3</v>
      </c>
      <c r="Y11" s="4">
        <v>40838</v>
      </c>
      <c r="Z11">
        <v>1</v>
      </c>
      <c r="AA11">
        <v>10</v>
      </c>
      <c r="AC11" s="6">
        <v>42924</v>
      </c>
      <c r="AD11">
        <v>3</v>
      </c>
      <c r="AE11">
        <v>1</v>
      </c>
      <c r="AG11" s="4">
        <v>41140</v>
      </c>
      <c r="AH11">
        <v>1</v>
      </c>
    </row>
    <row r="12" spans="1:34" x14ac:dyDescent="0.25">
      <c r="A12" s="3" t="s">
        <v>199</v>
      </c>
      <c r="B12">
        <v>47</v>
      </c>
      <c r="C12">
        <v>4</v>
      </c>
      <c r="E12" s="3" t="s">
        <v>530</v>
      </c>
      <c r="F12">
        <v>111</v>
      </c>
      <c r="G12">
        <v>12</v>
      </c>
      <c r="I12" s="3" t="s">
        <v>504</v>
      </c>
      <c r="J12">
        <v>3184</v>
      </c>
      <c r="K12">
        <v>311</v>
      </c>
      <c r="M12" s="3" t="s">
        <v>102</v>
      </c>
      <c r="N12">
        <v>46</v>
      </c>
      <c r="O12">
        <v>4</v>
      </c>
      <c r="Q12" s="3" t="s">
        <v>137</v>
      </c>
      <c r="R12">
        <v>187</v>
      </c>
      <c r="S12">
        <v>14</v>
      </c>
      <c r="U12" s="5" t="s">
        <v>510</v>
      </c>
      <c r="V12">
        <v>34</v>
      </c>
      <c r="W12">
        <v>2</v>
      </c>
      <c r="Y12" s="5" t="s">
        <v>550</v>
      </c>
      <c r="Z12">
        <v>1</v>
      </c>
      <c r="AA12">
        <v>10</v>
      </c>
      <c r="AC12" s="6">
        <v>42892</v>
      </c>
      <c r="AD12">
        <v>7</v>
      </c>
      <c r="AE12">
        <v>1</v>
      </c>
      <c r="AG12" s="4">
        <v>41176</v>
      </c>
      <c r="AH12">
        <v>2</v>
      </c>
    </row>
    <row r="13" spans="1:34" x14ac:dyDescent="0.25">
      <c r="A13" s="3" t="s">
        <v>288</v>
      </c>
      <c r="B13">
        <v>25</v>
      </c>
      <c r="C13">
        <v>3</v>
      </c>
      <c r="E13" s="3" t="s">
        <v>541</v>
      </c>
      <c r="F13">
        <v>102</v>
      </c>
      <c r="G13">
        <v>13</v>
      </c>
      <c r="M13" s="3" t="s">
        <v>225</v>
      </c>
      <c r="N13">
        <v>44</v>
      </c>
      <c r="O13">
        <v>4</v>
      </c>
      <c r="Q13" s="3" t="s">
        <v>41</v>
      </c>
      <c r="R13">
        <v>161</v>
      </c>
      <c r="S13">
        <v>17</v>
      </c>
      <c r="U13" s="3" t="s">
        <v>553</v>
      </c>
      <c r="V13">
        <v>100</v>
      </c>
      <c r="W13">
        <v>10</v>
      </c>
      <c r="Y13" s="4">
        <v>40910</v>
      </c>
      <c r="Z13">
        <v>1</v>
      </c>
      <c r="AA13">
        <v>5</v>
      </c>
      <c r="AC13" s="6">
        <v>42747</v>
      </c>
      <c r="AD13">
        <v>12</v>
      </c>
      <c r="AE13">
        <v>1</v>
      </c>
      <c r="AG13" s="4">
        <v>41243</v>
      </c>
      <c r="AH13">
        <v>1</v>
      </c>
    </row>
    <row r="14" spans="1:34" x14ac:dyDescent="0.25">
      <c r="A14" s="3" t="s">
        <v>327</v>
      </c>
      <c r="B14">
        <v>36</v>
      </c>
      <c r="C14">
        <v>3</v>
      </c>
      <c r="E14" s="3" t="s">
        <v>533</v>
      </c>
      <c r="F14">
        <v>95</v>
      </c>
      <c r="G14">
        <v>11</v>
      </c>
      <c r="I14" s="2" t="s">
        <v>503</v>
      </c>
      <c r="J14" t="s">
        <v>505</v>
      </c>
      <c r="K14" t="s">
        <v>559</v>
      </c>
      <c r="M14" s="3" t="s">
        <v>123</v>
      </c>
      <c r="N14">
        <v>40</v>
      </c>
      <c r="O14">
        <v>4</v>
      </c>
      <c r="Q14" s="3" t="s">
        <v>76</v>
      </c>
      <c r="R14">
        <v>148</v>
      </c>
      <c r="S14">
        <v>14</v>
      </c>
      <c r="U14" s="5" t="s">
        <v>508</v>
      </c>
      <c r="V14">
        <v>51</v>
      </c>
      <c r="W14">
        <v>5</v>
      </c>
      <c r="Y14" s="5" t="s">
        <v>550</v>
      </c>
      <c r="Z14">
        <v>1</v>
      </c>
      <c r="AA14">
        <v>5</v>
      </c>
      <c r="AC14" s="6">
        <v>42689</v>
      </c>
      <c r="AD14">
        <v>2</v>
      </c>
      <c r="AE14">
        <v>1</v>
      </c>
      <c r="AG14" s="4">
        <v>41281</v>
      </c>
      <c r="AH14">
        <v>1</v>
      </c>
    </row>
    <row r="15" spans="1:34" x14ac:dyDescent="0.25">
      <c r="A15" s="3" t="s">
        <v>183</v>
      </c>
      <c r="B15">
        <v>26</v>
      </c>
      <c r="C15">
        <v>3</v>
      </c>
      <c r="E15" s="3" t="s">
        <v>531</v>
      </c>
      <c r="F15">
        <v>93</v>
      </c>
      <c r="G15">
        <v>9</v>
      </c>
      <c r="I15" s="3" t="s">
        <v>26</v>
      </c>
      <c r="J15">
        <v>1908</v>
      </c>
      <c r="K15">
        <v>187</v>
      </c>
      <c r="M15" s="3" t="s">
        <v>306</v>
      </c>
      <c r="N15">
        <v>37</v>
      </c>
      <c r="O15">
        <v>3</v>
      </c>
      <c r="Q15" s="3" t="s">
        <v>158</v>
      </c>
      <c r="R15">
        <v>126</v>
      </c>
      <c r="S15">
        <v>13</v>
      </c>
      <c r="U15" s="5" t="s">
        <v>512</v>
      </c>
      <c r="V15">
        <v>36</v>
      </c>
      <c r="W15">
        <v>4</v>
      </c>
      <c r="Y15" s="4">
        <v>40914</v>
      </c>
      <c r="Z15">
        <v>1</v>
      </c>
      <c r="AA15">
        <v>13</v>
      </c>
      <c r="AC15" s="6">
        <v>42636</v>
      </c>
      <c r="AD15">
        <v>16</v>
      </c>
      <c r="AE15">
        <v>1</v>
      </c>
      <c r="AG15" s="4">
        <v>41283</v>
      </c>
      <c r="AH15">
        <v>1</v>
      </c>
    </row>
    <row r="16" spans="1:34" x14ac:dyDescent="0.25">
      <c r="A16" s="3" t="s">
        <v>128</v>
      </c>
      <c r="B16">
        <v>26</v>
      </c>
      <c r="C16">
        <v>3</v>
      </c>
      <c r="E16" s="3" t="s">
        <v>532</v>
      </c>
      <c r="F16">
        <v>90</v>
      </c>
      <c r="G16">
        <v>9</v>
      </c>
      <c r="I16" s="3" t="s">
        <v>70</v>
      </c>
      <c r="J16">
        <v>850</v>
      </c>
      <c r="K16">
        <v>80</v>
      </c>
      <c r="M16" s="3" t="s">
        <v>389</v>
      </c>
      <c r="N16">
        <v>25</v>
      </c>
      <c r="O16">
        <v>3</v>
      </c>
      <c r="Q16" s="3" t="s">
        <v>201</v>
      </c>
      <c r="R16">
        <v>100</v>
      </c>
      <c r="S16">
        <v>8</v>
      </c>
      <c r="U16" s="5" t="s">
        <v>510</v>
      </c>
      <c r="V16">
        <v>13</v>
      </c>
      <c r="W16">
        <v>1</v>
      </c>
      <c r="Y16" s="5" t="s">
        <v>550</v>
      </c>
      <c r="Z16">
        <v>1</v>
      </c>
      <c r="AA16">
        <v>13</v>
      </c>
      <c r="AC16" s="6">
        <v>42619</v>
      </c>
      <c r="AD16">
        <v>2</v>
      </c>
      <c r="AE16">
        <v>1</v>
      </c>
      <c r="AG16" s="4">
        <v>41309</v>
      </c>
      <c r="AH16">
        <v>1</v>
      </c>
    </row>
    <row r="17" spans="1:34" x14ac:dyDescent="0.25">
      <c r="A17" s="3" t="s">
        <v>35</v>
      </c>
      <c r="B17">
        <v>24</v>
      </c>
      <c r="C17">
        <v>2</v>
      </c>
      <c r="E17" s="3" t="s">
        <v>528</v>
      </c>
      <c r="F17">
        <v>87</v>
      </c>
      <c r="G17">
        <v>7</v>
      </c>
      <c r="I17" s="3" t="s">
        <v>105</v>
      </c>
      <c r="J17">
        <v>309</v>
      </c>
      <c r="K17">
        <v>29</v>
      </c>
      <c r="M17" s="3" t="s">
        <v>479</v>
      </c>
      <c r="N17">
        <v>18</v>
      </c>
      <c r="O17">
        <v>1</v>
      </c>
      <c r="Q17" s="3" t="s">
        <v>63</v>
      </c>
      <c r="R17">
        <v>88</v>
      </c>
      <c r="S17">
        <v>9</v>
      </c>
      <c r="U17" s="3" t="s">
        <v>554</v>
      </c>
      <c r="V17">
        <v>222</v>
      </c>
      <c r="W17">
        <v>23</v>
      </c>
      <c r="Y17" s="4">
        <v>40915</v>
      </c>
      <c r="Z17">
        <v>1</v>
      </c>
      <c r="AA17">
        <v>6</v>
      </c>
      <c r="AC17" s="6">
        <v>42618</v>
      </c>
      <c r="AD17">
        <v>1</v>
      </c>
      <c r="AE17">
        <v>1</v>
      </c>
      <c r="AG17" s="4">
        <v>41365</v>
      </c>
      <c r="AH17">
        <v>2</v>
      </c>
    </row>
    <row r="18" spans="1:34" x14ac:dyDescent="0.25">
      <c r="A18" s="3" t="s">
        <v>423</v>
      </c>
      <c r="B18">
        <v>21</v>
      </c>
      <c r="C18">
        <v>2</v>
      </c>
      <c r="E18" s="3" t="s">
        <v>525</v>
      </c>
      <c r="F18">
        <v>83</v>
      </c>
      <c r="G18">
        <v>7</v>
      </c>
      <c r="I18" s="3" t="s">
        <v>87</v>
      </c>
      <c r="J18">
        <v>94</v>
      </c>
      <c r="K18">
        <v>11</v>
      </c>
      <c r="M18" s="3" t="s">
        <v>238</v>
      </c>
      <c r="N18">
        <v>7</v>
      </c>
      <c r="O18">
        <v>1</v>
      </c>
      <c r="Q18" s="3" t="s">
        <v>143</v>
      </c>
      <c r="R18">
        <v>65</v>
      </c>
      <c r="S18">
        <v>7</v>
      </c>
      <c r="U18" s="5" t="s">
        <v>508</v>
      </c>
      <c r="V18">
        <v>157</v>
      </c>
      <c r="W18">
        <v>15</v>
      </c>
      <c r="Y18" s="5" t="s">
        <v>550</v>
      </c>
      <c r="Z18">
        <v>1</v>
      </c>
      <c r="AA18">
        <v>6</v>
      </c>
      <c r="AC18" s="6">
        <v>42529</v>
      </c>
      <c r="AD18">
        <v>14</v>
      </c>
      <c r="AE18">
        <v>1</v>
      </c>
      <c r="AG18" s="4">
        <v>41379</v>
      </c>
      <c r="AH18">
        <v>1</v>
      </c>
    </row>
    <row r="19" spans="1:34" x14ac:dyDescent="0.25">
      <c r="A19" s="3" t="s">
        <v>118</v>
      </c>
      <c r="B19">
        <v>7</v>
      </c>
      <c r="C19">
        <v>2</v>
      </c>
      <c r="E19" s="3" t="s">
        <v>536</v>
      </c>
      <c r="F19">
        <v>82</v>
      </c>
      <c r="G19">
        <v>9</v>
      </c>
      <c r="I19" s="3" t="s">
        <v>268</v>
      </c>
      <c r="J19">
        <v>21</v>
      </c>
      <c r="K19">
        <v>3</v>
      </c>
      <c r="M19" s="3" t="s">
        <v>116</v>
      </c>
      <c r="N19">
        <v>2</v>
      </c>
      <c r="O19">
        <v>1</v>
      </c>
      <c r="Q19" s="3" t="s">
        <v>120</v>
      </c>
      <c r="R19">
        <v>55</v>
      </c>
      <c r="S19">
        <v>7</v>
      </c>
      <c r="U19" s="5" t="s">
        <v>512</v>
      </c>
      <c r="V19">
        <v>48</v>
      </c>
      <c r="W19">
        <v>6</v>
      </c>
      <c r="Y19" s="4">
        <v>40954</v>
      </c>
      <c r="Z19">
        <v>1</v>
      </c>
      <c r="AA19">
        <v>11</v>
      </c>
      <c r="AC19" s="6">
        <v>42507</v>
      </c>
      <c r="AD19">
        <v>32</v>
      </c>
      <c r="AE19">
        <v>2</v>
      </c>
      <c r="AG19" s="4">
        <v>41430</v>
      </c>
      <c r="AH19">
        <v>1</v>
      </c>
    </row>
    <row r="20" spans="1:34" x14ac:dyDescent="0.25">
      <c r="A20" s="3" t="s">
        <v>240</v>
      </c>
      <c r="B20">
        <v>15</v>
      </c>
      <c r="C20">
        <v>1</v>
      </c>
      <c r="E20" s="3" t="s">
        <v>538</v>
      </c>
      <c r="F20">
        <v>82</v>
      </c>
      <c r="G20">
        <v>8</v>
      </c>
      <c r="I20" s="3" t="s">
        <v>354</v>
      </c>
      <c r="J20">
        <v>2</v>
      </c>
      <c r="K20">
        <v>1</v>
      </c>
      <c r="M20" s="3" t="s">
        <v>504</v>
      </c>
      <c r="N20">
        <v>3184</v>
      </c>
      <c r="O20">
        <v>311</v>
      </c>
      <c r="Q20" s="3" t="s">
        <v>165</v>
      </c>
      <c r="R20">
        <v>36</v>
      </c>
      <c r="S20">
        <v>4</v>
      </c>
      <c r="U20" s="5" t="s">
        <v>510</v>
      </c>
      <c r="V20">
        <v>17</v>
      </c>
      <c r="W20">
        <v>2</v>
      </c>
      <c r="Y20" s="5" t="s">
        <v>563</v>
      </c>
      <c r="Z20">
        <v>1</v>
      </c>
      <c r="AA20">
        <v>11</v>
      </c>
      <c r="AC20" s="6">
        <v>42461</v>
      </c>
      <c r="AD20">
        <v>4</v>
      </c>
      <c r="AE20">
        <v>1</v>
      </c>
      <c r="AG20" s="4">
        <v>41440</v>
      </c>
      <c r="AH20">
        <v>1</v>
      </c>
    </row>
    <row r="21" spans="1:34" x14ac:dyDescent="0.25">
      <c r="A21" s="3" t="s">
        <v>286</v>
      </c>
      <c r="B21">
        <v>19</v>
      </c>
      <c r="C21">
        <v>1</v>
      </c>
      <c r="E21" s="3" t="s">
        <v>524</v>
      </c>
      <c r="F21">
        <v>80</v>
      </c>
      <c r="G21">
        <v>7</v>
      </c>
      <c r="I21" s="3" t="s">
        <v>504</v>
      </c>
      <c r="J21">
        <v>3184</v>
      </c>
      <c r="K21">
        <v>311</v>
      </c>
      <c r="Q21" s="3" t="s">
        <v>184</v>
      </c>
      <c r="R21">
        <v>26</v>
      </c>
      <c r="S21">
        <v>3</v>
      </c>
      <c r="U21" s="3" t="s">
        <v>555</v>
      </c>
      <c r="V21">
        <v>200</v>
      </c>
      <c r="W21">
        <v>18</v>
      </c>
      <c r="Y21" s="4">
        <v>40959</v>
      </c>
      <c r="Z21">
        <v>1</v>
      </c>
      <c r="AA21">
        <v>13</v>
      </c>
      <c r="AC21" s="6">
        <v>42408</v>
      </c>
      <c r="AD21">
        <v>18</v>
      </c>
      <c r="AE21">
        <v>1</v>
      </c>
      <c r="AG21" s="4">
        <v>41443</v>
      </c>
      <c r="AH21">
        <v>2</v>
      </c>
    </row>
    <row r="22" spans="1:34" x14ac:dyDescent="0.25">
      <c r="A22" s="3" t="s">
        <v>430</v>
      </c>
      <c r="B22">
        <v>2</v>
      </c>
      <c r="C22">
        <v>1</v>
      </c>
      <c r="E22" s="3" t="s">
        <v>534</v>
      </c>
      <c r="F22">
        <v>54</v>
      </c>
      <c r="G22">
        <v>8</v>
      </c>
      <c r="Q22" s="3" t="s">
        <v>242</v>
      </c>
      <c r="R22">
        <v>13</v>
      </c>
      <c r="S22">
        <v>2</v>
      </c>
      <c r="U22" s="5" t="s">
        <v>508</v>
      </c>
      <c r="V22">
        <v>122</v>
      </c>
      <c r="W22">
        <v>12</v>
      </c>
      <c r="Y22" s="5" t="s">
        <v>550</v>
      </c>
      <c r="Z22">
        <v>1</v>
      </c>
      <c r="AA22">
        <v>13</v>
      </c>
      <c r="AC22" s="6">
        <v>42395</v>
      </c>
      <c r="AD22">
        <v>11</v>
      </c>
      <c r="AE22">
        <v>1</v>
      </c>
      <c r="AG22" s="4">
        <v>41449</v>
      </c>
      <c r="AH22">
        <v>1</v>
      </c>
    </row>
    <row r="23" spans="1:34" x14ac:dyDescent="0.25">
      <c r="A23" s="3" t="s">
        <v>311</v>
      </c>
      <c r="B23">
        <v>10</v>
      </c>
      <c r="C23">
        <v>1</v>
      </c>
      <c r="E23" s="3" t="s">
        <v>520</v>
      </c>
      <c r="F23">
        <v>48</v>
      </c>
      <c r="G23">
        <v>5</v>
      </c>
      <c r="I23" s="2" t="s">
        <v>503</v>
      </c>
      <c r="J23" t="s">
        <v>505</v>
      </c>
      <c r="K23" t="s">
        <v>559</v>
      </c>
      <c r="Q23" s="3" t="s">
        <v>504</v>
      </c>
      <c r="R23">
        <v>3184</v>
      </c>
      <c r="S23">
        <v>311</v>
      </c>
      <c r="U23" s="5" t="s">
        <v>512</v>
      </c>
      <c r="V23">
        <v>78</v>
      </c>
      <c r="W23">
        <v>6</v>
      </c>
      <c r="Y23" s="4">
        <v>40973</v>
      </c>
      <c r="Z23">
        <v>1</v>
      </c>
      <c r="AA23">
        <v>16</v>
      </c>
      <c r="AC23" s="6">
        <v>42384</v>
      </c>
      <c r="AD23">
        <v>11</v>
      </c>
      <c r="AE23">
        <v>1</v>
      </c>
      <c r="AG23" s="4">
        <v>41505</v>
      </c>
      <c r="AH23">
        <v>1</v>
      </c>
    </row>
    <row r="24" spans="1:34" x14ac:dyDescent="0.25">
      <c r="A24" s="3" t="s">
        <v>115</v>
      </c>
      <c r="B24">
        <v>2</v>
      </c>
      <c r="C24">
        <v>1</v>
      </c>
      <c r="E24" s="3" t="s">
        <v>521</v>
      </c>
      <c r="F24">
        <v>47</v>
      </c>
      <c r="G24">
        <v>5</v>
      </c>
      <c r="I24" s="3" t="s">
        <v>25</v>
      </c>
      <c r="J24">
        <v>3008</v>
      </c>
      <c r="K24">
        <v>295</v>
      </c>
      <c r="U24" s="3" t="s">
        <v>556</v>
      </c>
      <c r="V24">
        <v>118</v>
      </c>
      <c r="W24">
        <v>10</v>
      </c>
      <c r="Y24" s="5" t="s">
        <v>550</v>
      </c>
      <c r="Z24">
        <v>1</v>
      </c>
      <c r="AA24">
        <v>16</v>
      </c>
      <c r="AC24" s="6">
        <v>42350</v>
      </c>
      <c r="AD24">
        <v>9</v>
      </c>
      <c r="AE24">
        <v>1</v>
      </c>
      <c r="AG24" s="4">
        <v>41542</v>
      </c>
      <c r="AH24">
        <v>1</v>
      </c>
    </row>
    <row r="25" spans="1:34" x14ac:dyDescent="0.25">
      <c r="A25" s="3" t="s">
        <v>416</v>
      </c>
      <c r="B25">
        <v>12</v>
      </c>
      <c r="C25">
        <v>1</v>
      </c>
      <c r="E25" s="3" t="s">
        <v>522</v>
      </c>
      <c r="F25">
        <v>46</v>
      </c>
      <c r="G25">
        <v>4</v>
      </c>
      <c r="I25" s="3" t="s">
        <v>99</v>
      </c>
      <c r="J25">
        <v>137</v>
      </c>
      <c r="K25">
        <v>12</v>
      </c>
      <c r="Q25" s="2" t="s">
        <v>503</v>
      </c>
      <c r="R25" t="s">
        <v>505</v>
      </c>
      <c r="S25" t="s">
        <v>559</v>
      </c>
      <c r="U25" s="5" t="s">
        <v>508</v>
      </c>
      <c r="V25">
        <v>38</v>
      </c>
      <c r="W25">
        <v>4</v>
      </c>
      <c r="Y25" s="4">
        <v>41011</v>
      </c>
      <c r="Z25">
        <v>1</v>
      </c>
      <c r="AA25">
        <v>4</v>
      </c>
      <c r="AC25" s="6">
        <v>42323</v>
      </c>
      <c r="AD25">
        <v>3</v>
      </c>
      <c r="AE25">
        <v>1</v>
      </c>
      <c r="AG25" s="4">
        <v>41648</v>
      </c>
      <c r="AH25">
        <v>1</v>
      </c>
    </row>
    <row r="26" spans="1:34" x14ac:dyDescent="0.25">
      <c r="A26" s="3" t="s">
        <v>330</v>
      </c>
      <c r="B26">
        <v>20</v>
      </c>
      <c r="C26">
        <v>1</v>
      </c>
      <c r="E26" s="3" t="s">
        <v>509</v>
      </c>
      <c r="F26">
        <v>44</v>
      </c>
      <c r="G26">
        <v>3</v>
      </c>
      <c r="I26" s="3" t="s">
        <v>163</v>
      </c>
      <c r="J26">
        <v>39</v>
      </c>
      <c r="K26">
        <v>4</v>
      </c>
      <c r="Q26" s="3" t="s">
        <v>42</v>
      </c>
      <c r="R26">
        <v>868</v>
      </c>
      <c r="S26">
        <v>87</v>
      </c>
      <c r="U26" s="5" t="s">
        <v>512</v>
      </c>
      <c r="V26">
        <v>63</v>
      </c>
      <c r="W26">
        <v>5</v>
      </c>
      <c r="Y26" s="5" t="s">
        <v>550</v>
      </c>
      <c r="Z26">
        <v>1</v>
      </c>
      <c r="AA26">
        <v>4</v>
      </c>
      <c r="AC26" s="6">
        <v>42322</v>
      </c>
      <c r="AD26">
        <v>17</v>
      </c>
      <c r="AE26">
        <v>1</v>
      </c>
      <c r="AG26" s="4">
        <v>41650</v>
      </c>
      <c r="AH26">
        <v>1</v>
      </c>
    </row>
    <row r="27" spans="1:34" x14ac:dyDescent="0.25">
      <c r="A27" s="3" t="s">
        <v>142</v>
      </c>
      <c r="B27">
        <v>4</v>
      </c>
      <c r="C27">
        <v>1</v>
      </c>
      <c r="E27" s="3" t="s">
        <v>547</v>
      </c>
      <c r="F27">
        <v>37</v>
      </c>
      <c r="G27">
        <v>3</v>
      </c>
      <c r="I27" s="3" t="s">
        <v>504</v>
      </c>
      <c r="J27">
        <v>3184</v>
      </c>
      <c r="K27">
        <v>311</v>
      </c>
      <c r="Q27" s="3" t="s">
        <v>31</v>
      </c>
      <c r="R27">
        <v>783</v>
      </c>
      <c r="S27">
        <v>76</v>
      </c>
      <c r="U27" s="5" t="s">
        <v>510</v>
      </c>
      <c r="V27">
        <v>17</v>
      </c>
      <c r="W27">
        <v>1</v>
      </c>
      <c r="Y27" s="4">
        <v>41032</v>
      </c>
      <c r="Z27">
        <v>1</v>
      </c>
      <c r="AA27">
        <v>9</v>
      </c>
      <c r="AC27" s="6">
        <v>42312</v>
      </c>
      <c r="AD27">
        <v>1</v>
      </c>
      <c r="AE27">
        <v>1</v>
      </c>
      <c r="AG27" s="4">
        <v>41651</v>
      </c>
      <c r="AH27">
        <v>1</v>
      </c>
    </row>
    <row r="28" spans="1:34" x14ac:dyDescent="0.25">
      <c r="A28" s="3" t="s">
        <v>419</v>
      </c>
      <c r="B28">
        <v>17</v>
      </c>
      <c r="C28">
        <v>1</v>
      </c>
      <c r="E28" s="3" t="s">
        <v>546</v>
      </c>
      <c r="F28">
        <v>37</v>
      </c>
      <c r="G28">
        <v>5</v>
      </c>
      <c r="Q28" s="3" t="s">
        <v>57</v>
      </c>
      <c r="R28">
        <v>508</v>
      </c>
      <c r="S28">
        <v>49</v>
      </c>
      <c r="U28" s="3" t="s">
        <v>557</v>
      </c>
      <c r="V28">
        <v>100</v>
      </c>
      <c r="W28">
        <v>9</v>
      </c>
      <c r="Y28" s="5" t="s">
        <v>550</v>
      </c>
      <c r="Z28">
        <v>1</v>
      </c>
      <c r="AA28">
        <v>9</v>
      </c>
      <c r="AC28" s="6">
        <v>42302</v>
      </c>
      <c r="AD28">
        <v>5</v>
      </c>
      <c r="AE28">
        <v>1</v>
      </c>
      <c r="AG28" s="4">
        <v>41729</v>
      </c>
      <c r="AH28">
        <v>1</v>
      </c>
    </row>
    <row r="29" spans="1:34" x14ac:dyDescent="0.25">
      <c r="A29" s="3" t="s">
        <v>212</v>
      </c>
      <c r="B29">
        <v>4</v>
      </c>
      <c r="C29">
        <v>1</v>
      </c>
      <c r="E29" s="3" t="s">
        <v>523</v>
      </c>
      <c r="F29">
        <v>30</v>
      </c>
      <c r="G29">
        <v>4</v>
      </c>
      <c r="I29" s="2" t="s">
        <v>503</v>
      </c>
      <c r="J29" t="s">
        <v>505</v>
      </c>
      <c r="K29" t="s">
        <v>559</v>
      </c>
      <c r="Q29" s="3" t="s">
        <v>67</v>
      </c>
      <c r="R29">
        <v>319</v>
      </c>
      <c r="S29">
        <v>31</v>
      </c>
      <c r="U29" s="5" t="s">
        <v>508</v>
      </c>
      <c r="V29">
        <v>66</v>
      </c>
      <c r="W29">
        <v>6</v>
      </c>
      <c r="Y29" s="4">
        <v>41044</v>
      </c>
      <c r="Z29">
        <v>1</v>
      </c>
      <c r="AA29">
        <v>3</v>
      </c>
      <c r="AC29" s="6">
        <v>42262</v>
      </c>
      <c r="AD29">
        <v>2</v>
      </c>
      <c r="AE29">
        <v>1</v>
      </c>
      <c r="AG29" s="4">
        <v>41733</v>
      </c>
      <c r="AH29">
        <v>2</v>
      </c>
    </row>
    <row r="30" spans="1:34" x14ac:dyDescent="0.25">
      <c r="A30" s="3" t="s">
        <v>497</v>
      </c>
      <c r="B30">
        <v>16</v>
      </c>
      <c r="C30">
        <v>1</v>
      </c>
      <c r="E30" s="3" t="s">
        <v>548</v>
      </c>
      <c r="F30">
        <v>27</v>
      </c>
      <c r="G30">
        <v>3</v>
      </c>
      <c r="I30" s="3" t="s">
        <v>28</v>
      </c>
      <c r="J30">
        <v>2035</v>
      </c>
      <c r="K30">
        <v>207</v>
      </c>
      <c r="Q30" s="3" t="s">
        <v>72</v>
      </c>
      <c r="R30">
        <v>330</v>
      </c>
      <c r="S30">
        <v>29</v>
      </c>
      <c r="U30" s="5" t="s">
        <v>512</v>
      </c>
      <c r="V30">
        <v>30</v>
      </c>
      <c r="W30">
        <v>2</v>
      </c>
      <c r="Y30" s="5" t="s">
        <v>550</v>
      </c>
      <c r="Z30">
        <v>1</v>
      </c>
      <c r="AA30">
        <v>3</v>
      </c>
      <c r="AC30" s="6">
        <v>42254</v>
      </c>
      <c r="AD30">
        <v>20</v>
      </c>
      <c r="AE30">
        <v>2</v>
      </c>
      <c r="AG30" s="4">
        <v>41753</v>
      </c>
      <c r="AH30">
        <v>1</v>
      </c>
    </row>
    <row r="31" spans="1:34" x14ac:dyDescent="0.25">
      <c r="A31" s="3" t="s">
        <v>153</v>
      </c>
      <c r="B31">
        <v>8</v>
      </c>
      <c r="C31">
        <v>1</v>
      </c>
      <c r="E31" s="3" t="s">
        <v>515</v>
      </c>
      <c r="F31">
        <v>21</v>
      </c>
      <c r="G31">
        <v>2</v>
      </c>
      <c r="I31" s="3" t="s">
        <v>95</v>
      </c>
      <c r="J31">
        <v>185</v>
      </c>
      <c r="K31">
        <v>16</v>
      </c>
      <c r="Q31" s="3" t="s">
        <v>111</v>
      </c>
      <c r="R31">
        <v>237</v>
      </c>
      <c r="S31">
        <v>23</v>
      </c>
      <c r="U31" s="5" t="s">
        <v>510</v>
      </c>
      <c r="V31">
        <v>4</v>
      </c>
      <c r="W31">
        <v>1</v>
      </c>
      <c r="Y31" s="4">
        <v>41092</v>
      </c>
      <c r="Z31">
        <v>1</v>
      </c>
      <c r="AA31">
        <v>16</v>
      </c>
      <c r="AC31" s="6">
        <v>42231</v>
      </c>
      <c r="AD31">
        <v>4</v>
      </c>
      <c r="AE31">
        <v>1</v>
      </c>
      <c r="AG31" s="4">
        <v>41774</v>
      </c>
      <c r="AH31">
        <v>1</v>
      </c>
    </row>
    <row r="32" spans="1:34" x14ac:dyDescent="0.25">
      <c r="A32" s="3" t="s">
        <v>174</v>
      </c>
      <c r="B32">
        <v>15</v>
      </c>
      <c r="C32">
        <v>1</v>
      </c>
      <c r="E32" s="3" t="s">
        <v>519</v>
      </c>
      <c r="F32">
        <v>18</v>
      </c>
      <c r="G32">
        <v>3</v>
      </c>
      <c r="I32" s="3" t="s">
        <v>39</v>
      </c>
      <c r="J32">
        <v>964</v>
      </c>
      <c r="K32">
        <v>88</v>
      </c>
      <c r="Q32" s="3" t="s">
        <v>205</v>
      </c>
      <c r="R32">
        <v>120</v>
      </c>
      <c r="S32">
        <v>13</v>
      </c>
      <c r="U32" s="3" t="s">
        <v>558</v>
      </c>
      <c r="V32">
        <v>2042</v>
      </c>
      <c r="W32">
        <v>208</v>
      </c>
      <c r="Y32" s="5" t="s">
        <v>550</v>
      </c>
      <c r="Z32">
        <v>1</v>
      </c>
      <c r="AA32">
        <v>16</v>
      </c>
      <c r="AC32" s="6">
        <v>42159</v>
      </c>
      <c r="AD32">
        <v>16</v>
      </c>
      <c r="AE32">
        <v>1</v>
      </c>
      <c r="AG32" s="4">
        <v>41822</v>
      </c>
      <c r="AH32">
        <v>1</v>
      </c>
    </row>
    <row r="33" spans="1:34" x14ac:dyDescent="0.25">
      <c r="A33" s="3" t="s">
        <v>359</v>
      </c>
      <c r="B33">
        <v>13</v>
      </c>
      <c r="C33">
        <v>1</v>
      </c>
      <c r="E33" s="3" t="s">
        <v>527</v>
      </c>
      <c r="F33">
        <v>17</v>
      </c>
      <c r="G33">
        <v>2</v>
      </c>
      <c r="I33" s="3" t="s">
        <v>504</v>
      </c>
      <c r="J33">
        <v>3184</v>
      </c>
      <c r="K33">
        <v>311</v>
      </c>
      <c r="Q33" s="3" t="s">
        <v>243</v>
      </c>
      <c r="R33">
        <v>18</v>
      </c>
      <c r="S33">
        <v>2</v>
      </c>
      <c r="U33" s="5" t="s">
        <v>508</v>
      </c>
      <c r="V33">
        <v>2042</v>
      </c>
      <c r="W33">
        <v>208</v>
      </c>
      <c r="Y33" s="4">
        <v>41131</v>
      </c>
      <c r="Z33">
        <v>1</v>
      </c>
      <c r="AA33">
        <v>19</v>
      </c>
      <c r="AC33" s="6">
        <v>41886</v>
      </c>
      <c r="AD33">
        <v>6</v>
      </c>
      <c r="AE33">
        <v>1</v>
      </c>
      <c r="AG33" s="4">
        <v>41853</v>
      </c>
      <c r="AH33">
        <v>1</v>
      </c>
    </row>
    <row r="34" spans="1:34" x14ac:dyDescent="0.25">
      <c r="A34" s="3" t="s">
        <v>504</v>
      </c>
      <c r="B34">
        <v>3184</v>
      </c>
      <c r="C34">
        <v>311</v>
      </c>
      <c r="E34" s="3" t="s">
        <v>518</v>
      </c>
      <c r="F34">
        <v>14</v>
      </c>
      <c r="G34">
        <v>1</v>
      </c>
      <c r="Q34" s="3" t="s">
        <v>92</v>
      </c>
      <c r="R34">
        <v>1</v>
      </c>
      <c r="S34">
        <v>1</v>
      </c>
      <c r="U34" s="3" t="s">
        <v>504</v>
      </c>
      <c r="V34">
        <v>3184</v>
      </c>
      <c r="W34">
        <v>311</v>
      </c>
      <c r="Y34" s="5" t="s">
        <v>550</v>
      </c>
      <c r="Z34">
        <v>1</v>
      </c>
      <c r="AA34">
        <v>19</v>
      </c>
      <c r="AC34" s="6">
        <v>41853</v>
      </c>
      <c r="AD34">
        <v>19</v>
      </c>
      <c r="AE34">
        <v>1</v>
      </c>
      <c r="AG34" s="4">
        <v>41858</v>
      </c>
      <c r="AH34">
        <v>1</v>
      </c>
    </row>
    <row r="35" spans="1:34" x14ac:dyDescent="0.25">
      <c r="E35" s="3" t="s">
        <v>513</v>
      </c>
      <c r="F35">
        <v>14</v>
      </c>
      <c r="G35">
        <v>2</v>
      </c>
      <c r="I35" s="2" t="s">
        <v>503</v>
      </c>
      <c r="J35" t="s">
        <v>505</v>
      </c>
      <c r="K35" t="s">
        <v>559</v>
      </c>
      <c r="Q35" s="3" t="s">
        <v>504</v>
      </c>
      <c r="R35">
        <v>3184</v>
      </c>
      <c r="S35">
        <v>311</v>
      </c>
      <c r="Y35" s="4">
        <v>41284</v>
      </c>
      <c r="Z35">
        <v>1</v>
      </c>
      <c r="AA35">
        <v>12</v>
      </c>
      <c r="AC35" s="6">
        <v>41822</v>
      </c>
      <c r="AD35">
        <v>5</v>
      </c>
      <c r="AE35">
        <v>1</v>
      </c>
      <c r="AG35" s="4">
        <v>41886</v>
      </c>
      <c r="AH35">
        <v>1</v>
      </c>
    </row>
    <row r="36" spans="1:34" x14ac:dyDescent="0.25">
      <c r="E36" s="3" t="s">
        <v>507</v>
      </c>
      <c r="F36">
        <v>12</v>
      </c>
      <c r="G36">
        <v>2</v>
      </c>
      <c r="I36" s="3" t="s">
        <v>32</v>
      </c>
      <c r="J36">
        <v>388</v>
      </c>
      <c r="K36">
        <v>37</v>
      </c>
      <c r="Y36" s="5" t="s">
        <v>550</v>
      </c>
      <c r="Z36">
        <v>1</v>
      </c>
      <c r="AA36">
        <v>12</v>
      </c>
      <c r="AC36" s="6">
        <v>41774</v>
      </c>
      <c r="AD36">
        <v>11</v>
      </c>
      <c r="AE36">
        <v>1</v>
      </c>
      <c r="AG36" s="4">
        <v>41943</v>
      </c>
      <c r="AH36">
        <v>1</v>
      </c>
    </row>
    <row r="37" spans="1:34" x14ac:dyDescent="0.25">
      <c r="E37" s="3" t="s">
        <v>517</v>
      </c>
      <c r="F37">
        <v>9</v>
      </c>
      <c r="G37">
        <v>1</v>
      </c>
      <c r="I37" s="3" t="s">
        <v>43</v>
      </c>
      <c r="J37">
        <v>2484</v>
      </c>
      <c r="K37">
        <v>243</v>
      </c>
      <c r="Y37" s="4">
        <v>41288</v>
      </c>
      <c r="Z37">
        <v>1</v>
      </c>
      <c r="AA37">
        <v>6</v>
      </c>
      <c r="AC37" s="6">
        <v>41753</v>
      </c>
      <c r="AD37">
        <v>2</v>
      </c>
      <c r="AE37">
        <v>1</v>
      </c>
      <c r="AG37" s="4">
        <v>42078</v>
      </c>
      <c r="AH37">
        <v>1</v>
      </c>
    </row>
    <row r="38" spans="1:34" x14ac:dyDescent="0.25">
      <c r="E38" s="3" t="s">
        <v>516</v>
      </c>
      <c r="F38">
        <v>9</v>
      </c>
      <c r="G38">
        <v>2</v>
      </c>
      <c r="I38" s="3" t="s">
        <v>112</v>
      </c>
      <c r="J38">
        <v>204</v>
      </c>
      <c r="K38">
        <v>18</v>
      </c>
      <c r="Y38" s="5" t="s">
        <v>550</v>
      </c>
      <c r="Z38">
        <v>1</v>
      </c>
      <c r="AA38">
        <v>6</v>
      </c>
      <c r="AC38" s="6">
        <v>41733</v>
      </c>
      <c r="AD38">
        <v>24</v>
      </c>
      <c r="AE38">
        <v>2</v>
      </c>
      <c r="AG38" s="4">
        <v>42102</v>
      </c>
      <c r="AH38">
        <v>1</v>
      </c>
    </row>
    <row r="39" spans="1:34" x14ac:dyDescent="0.25">
      <c r="E39" s="3" t="s">
        <v>511</v>
      </c>
      <c r="F39">
        <v>3</v>
      </c>
      <c r="G39">
        <v>1</v>
      </c>
      <c r="I39" s="3" t="s">
        <v>194</v>
      </c>
      <c r="J39">
        <v>108</v>
      </c>
      <c r="K39">
        <v>13</v>
      </c>
      <c r="Y39" s="4">
        <v>41304</v>
      </c>
      <c r="Z39">
        <v>2</v>
      </c>
      <c r="AA39">
        <v>21</v>
      </c>
      <c r="AC39" s="6">
        <v>41651</v>
      </c>
      <c r="AD39">
        <v>7</v>
      </c>
      <c r="AE39">
        <v>1</v>
      </c>
      <c r="AG39" s="4">
        <v>42109</v>
      </c>
      <c r="AH39">
        <v>1</v>
      </c>
    </row>
    <row r="40" spans="1:34" x14ac:dyDescent="0.25">
      <c r="E40" s="3" t="s">
        <v>504</v>
      </c>
      <c r="F40">
        <v>3184</v>
      </c>
      <c r="G40">
        <v>311</v>
      </c>
      <c r="I40" s="3" t="s">
        <v>504</v>
      </c>
      <c r="J40">
        <v>3184</v>
      </c>
      <c r="K40">
        <v>311</v>
      </c>
      <c r="Y40" s="5" t="s">
        <v>550</v>
      </c>
      <c r="Z40">
        <v>2</v>
      </c>
      <c r="AA40">
        <v>21</v>
      </c>
      <c r="AC40" s="6">
        <v>41650</v>
      </c>
      <c r="AD40">
        <v>17</v>
      </c>
      <c r="AE40">
        <v>1</v>
      </c>
      <c r="AG40" s="4">
        <v>42159</v>
      </c>
      <c r="AH40">
        <v>1</v>
      </c>
    </row>
    <row r="41" spans="1:34" x14ac:dyDescent="0.25">
      <c r="Y41" s="4">
        <v>41306</v>
      </c>
      <c r="Z41">
        <v>2</v>
      </c>
      <c r="AA41">
        <v>38</v>
      </c>
      <c r="AC41" s="6">
        <v>41648</v>
      </c>
      <c r="AD41">
        <v>6</v>
      </c>
      <c r="AE41">
        <v>1</v>
      </c>
      <c r="AG41" s="4">
        <v>42180</v>
      </c>
      <c r="AH41">
        <v>1</v>
      </c>
    </row>
    <row r="42" spans="1:34" x14ac:dyDescent="0.25">
      <c r="I42" s="2" t="s">
        <v>503</v>
      </c>
      <c r="J42" t="s">
        <v>505</v>
      </c>
      <c r="K42" t="s">
        <v>559</v>
      </c>
      <c r="Y42" s="5" t="s">
        <v>550</v>
      </c>
      <c r="Z42">
        <v>1</v>
      </c>
      <c r="AA42">
        <v>18</v>
      </c>
      <c r="AC42" s="6">
        <v>41542</v>
      </c>
      <c r="AD42">
        <v>17</v>
      </c>
      <c r="AE42">
        <v>1</v>
      </c>
      <c r="AG42" s="4">
        <v>42182</v>
      </c>
      <c r="AH42">
        <v>1</v>
      </c>
    </row>
    <row r="43" spans="1:34" x14ac:dyDescent="0.25">
      <c r="I43" s="3">
        <v>1</v>
      </c>
      <c r="J43">
        <v>22</v>
      </c>
      <c r="K43">
        <v>2</v>
      </c>
      <c r="Y43" s="5" t="s">
        <v>551</v>
      </c>
      <c r="Z43">
        <v>1</v>
      </c>
      <c r="AA43">
        <v>20</v>
      </c>
      <c r="AC43" s="6">
        <v>41449</v>
      </c>
      <c r="AD43">
        <v>20</v>
      </c>
      <c r="AE43">
        <v>1</v>
      </c>
      <c r="AG43" s="4">
        <v>42184</v>
      </c>
      <c r="AH43">
        <v>1</v>
      </c>
    </row>
    <row r="44" spans="1:34" x14ac:dyDescent="0.25">
      <c r="I44" s="3">
        <v>2</v>
      </c>
      <c r="J44">
        <v>68</v>
      </c>
      <c r="K44">
        <v>9</v>
      </c>
      <c r="Y44" s="4">
        <v>41315</v>
      </c>
      <c r="Z44">
        <v>1</v>
      </c>
      <c r="AA44">
        <v>19</v>
      </c>
      <c r="AC44" s="6">
        <v>41443</v>
      </c>
      <c r="AD44">
        <v>15</v>
      </c>
      <c r="AE44">
        <v>1</v>
      </c>
      <c r="AG44" s="4">
        <v>42231</v>
      </c>
      <c r="AH44">
        <v>1</v>
      </c>
    </row>
    <row r="45" spans="1:34" x14ac:dyDescent="0.25">
      <c r="I45" s="3">
        <v>3</v>
      </c>
      <c r="J45">
        <v>1079</v>
      </c>
      <c r="K45">
        <v>108</v>
      </c>
      <c r="Y45" s="5" t="s">
        <v>550</v>
      </c>
      <c r="Z45">
        <v>1</v>
      </c>
      <c r="AA45">
        <v>19</v>
      </c>
      <c r="AC45" s="6">
        <v>41430</v>
      </c>
      <c r="AD45">
        <v>19</v>
      </c>
      <c r="AE45">
        <v>1</v>
      </c>
      <c r="AG45" s="4">
        <v>42248</v>
      </c>
      <c r="AH45">
        <v>1</v>
      </c>
    </row>
    <row r="46" spans="1:34" x14ac:dyDescent="0.25">
      <c r="I46" s="3">
        <v>4</v>
      </c>
      <c r="J46">
        <v>958</v>
      </c>
      <c r="K46">
        <v>94</v>
      </c>
      <c r="Y46" s="4">
        <v>41325</v>
      </c>
      <c r="Z46">
        <v>1</v>
      </c>
      <c r="AA46">
        <v>20</v>
      </c>
      <c r="AC46" s="6">
        <v>41365</v>
      </c>
      <c r="AD46">
        <v>18</v>
      </c>
      <c r="AE46">
        <v>1</v>
      </c>
      <c r="AG46" s="4">
        <v>42252</v>
      </c>
      <c r="AH46">
        <v>1</v>
      </c>
    </row>
    <row r="47" spans="1:34" x14ac:dyDescent="0.25">
      <c r="I47" s="3">
        <v>5</v>
      </c>
      <c r="J47">
        <v>1057</v>
      </c>
      <c r="K47">
        <v>98</v>
      </c>
      <c r="Y47" s="5" t="s">
        <v>551</v>
      </c>
      <c r="Z47">
        <v>1</v>
      </c>
      <c r="AA47">
        <v>20</v>
      </c>
      <c r="AC47" s="6">
        <v>41309</v>
      </c>
      <c r="AD47">
        <v>12</v>
      </c>
      <c r="AE47">
        <v>1</v>
      </c>
      <c r="AG47" s="4">
        <v>42254</v>
      </c>
      <c r="AH47">
        <v>2</v>
      </c>
    </row>
    <row r="48" spans="1:34" x14ac:dyDescent="0.25">
      <c r="I48" s="3" t="s">
        <v>504</v>
      </c>
      <c r="J48">
        <v>3184</v>
      </c>
      <c r="K48">
        <v>311</v>
      </c>
      <c r="Y48" s="4">
        <v>41335</v>
      </c>
      <c r="Z48">
        <v>1</v>
      </c>
      <c r="AA48">
        <v>19</v>
      </c>
      <c r="AC48" s="6">
        <v>41283</v>
      </c>
      <c r="AD48">
        <v>6</v>
      </c>
      <c r="AE48">
        <v>1</v>
      </c>
      <c r="AG48" s="4">
        <v>42259</v>
      </c>
      <c r="AH48">
        <v>1</v>
      </c>
    </row>
    <row r="49" spans="25:34" x14ac:dyDescent="0.25">
      <c r="Y49" s="5" t="s">
        <v>550</v>
      </c>
      <c r="Z49">
        <v>1</v>
      </c>
      <c r="AA49">
        <v>19</v>
      </c>
      <c r="AC49" s="6">
        <v>41281</v>
      </c>
      <c r="AD49">
        <v>9</v>
      </c>
      <c r="AE49">
        <v>1</v>
      </c>
      <c r="AG49" s="4">
        <v>42262</v>
      </c>
      <c r="AH49">
        <v>1</v>
      </c>
    </row>
    <row r="50" spans="25:34" x14ac:dyDescent="0.25">
      <c r="Y50" s="4">
        <v>41337</v>
      </c>
      <c r="Z50">
        <v>2</v>
      </c>
      <c r="AA50">
        <v>13</v>
      </c>
      <c r="AC50" s="6">
        <v>41243</v>
      </c>
      <c r="AD50">
        <v>13</v>
      </c>
      <c r="AE50">
        <v>1</v>
      </c>
      <c r="AG50" s="4">
        <v>42276</v>
      </c>
      <c r="AH50">
        <v>1</v>
      </c>
    </row>
    <row r="51" spans="25:34" x14ac:dyDescent="0.25">
      <c r="Y51" s="5" t="s">
        <v>550</v>
      </c>
      <c r="Z51">
        <v>1</v>
      </c>
      <c r="AA51">
        <v>7</v>
      </c>
      <c r="AC51" s="6">
        <v>41176</v>
      </c>
      <c r="AD51">
        <v>7</v>
      </c>
      <c r="AE51">
        <v>2</v>
      </c>
      <c r="AG51" s="4">
        <v>42302</v>
      </c>
      <c r="AH51">
        <v>1</v>
      </c>
    </row>
    <row r="52" spans="25:34" x14ac:dyDescent="0.25">
      <c r="Y52" s="5" t="s">
        <v>551</v>
      </c>
      <c r="Z52">
        <v>1</v>
      </c>
      <c r="AA52">
        <v>6</v>
      </c>
      <c r="AC52" s="6">
        <v>41140</v>
      </c>
      <c r="AD52">
        <v>16</v>
      </c>
      <c r="AE52">
        <v>1</v>
      </c>
      <c r="AG52" s="4">
        <v>42308</v>
      </c>
      <c r="AH52">
        <v>1</v>
      </c>
    </row>
    <row r="53" spans="25:34" x14ac:dyDescent="0.25">
      <c r="Y53" s="4">
        <v>41363</v>
      </c>
      <c r="Z53">
        <v>1</v>
      </c>
      <c r="AA53">
        <v>2</v>
      </c>
      <c r="AC53" s="6">
        <v>41043</v>
      </c>
      <c r="AD53">
        <v>9</v>
      </c>
      <c r="AE53">
        <v>1</v>
      </c>
      <c r="AG53" s="4">
        <v>42312</v>
      </c>
      <c r="AH53">
        <v>2</v>
      </c>
    </row>
    <row r="54" spans="25:34" x14ac:dyDescent="0.25">
      <c r="Y54" s="5" t="s">
        <v>550</v>
      </c>
      <c r="Z54">
        <v>1</v>
      </c>
      <c r="AA54">
        <v>2</v>
      </c>
      <c r="AC54" s="6">
        <v>41006</v>
      </c>
      <c r="AD54">
        <v>16</v>
      </c>
      <c r="AE54">
        <v>1</v>
      </c>
      <c r="AG54" s="4">
        <v>42322</v>
      </c>
      <c r="AH54">
        <v>1</v>
      </c>
    </row>
    <row r="55" spans="25:34" x14ac:dyDescent="0.25">
      <c r="Y55" s="4">
        <v>41366</v>
      </c>
      <c r="Z55">
        <v>1</v>
      </c>
      <c r="AA55">
        <v>16</v>
      </c>
      <c r="AC55" s="6">
        <v>40947</v>
      </c>
      <c r="AD55">
        <v>13</v>
      </c>
      <c r="AE55">
        <v>1</v>
      </c>
      <c r="AG55" s="4">
        <v>42323</v>
      </c>
      <c r="AH55">
        <v>1</v>
      </c>
    </row>
    <row r="56" spans="25:34" x14ac:dyDescent="0.25">
      <c r="Y56" s="5" t="s">
        <v>551</v>
      </c>
      <c r="Z56">
        <v>1</v>
      </c>
      <c r="AA56">
        <v>16</v>
      </c>
      <c r="AC56" s="6">
        <v>40910</v>
      </c>
      <c r="AD56">
        <v>5</v>
      </c>
      <c r="AE56">
        <v>1</v>
      </c>
      <c r="AG56" s="4">
        <v>42350</v>
      </c>
      <c r="AH56">
        <v>1</v>
      </c>
    </row>
    <row r="57" spans="25:34" x14ac:dyDescent="0.25">
      <c r="Y57" s="4">
        <v>41369</v>
      </c>
      <c r="Z57">
        <v>1</v>
      </c>
      <c r="AA57">
        <v>20</v>
      </c>
      <c r="AC57" s="6">
        <v>40838</v>
      </c>
      <c r="AD57">
        <v>10</v>
      </c>
      <c r="AE57">
        <v>1</v>
      </c>
      <c r="AG57" s="4">
        <v>42353</v>
      </c>
      <c r="AH57">
        <v>1</v>
      </c>
    </row>
    <row r="58" spans="25:34" x14ac:dyDescent="0.25">
      <c r="Y58" s="5" t="s">
        <v>550</v>
      </c>
      <c r="Z58">
        <v>1</v>
      </c>
      <c r="AA58">
        <v>20</v>
      </c>
      <c r="AC58" s="5"/>
      <c r="AD58">
        <v>269</v>
      </c>
      <c r="AE58">
        <v>24</v>
      </c>
      <c r="AG58" s="4">
        <v>42384</v>
      </c>
      <c r="AH58">
        <v>1</v>
      </c>
    </row>
    <row r="59" spans="25:34" x14ac:dyDescent="0.25">
      <c r="Y59" s="4">
        <v>41428</v>
      </c>
      <c r="Z59">
        <v>1</v>
      </c>
      <c r="AA59">
        <v>17</v>
      </c>
      <c r="AC59" s="3" t="s">
        <v>553</v>
      </c>
      <c r="AG59" s="4">
        <v>42395</v>
      </c>
      <c r="AH59">
        <v>1</v>
      </c>
    </row>
    <row r="60" spans="25:34" x14ac:dyDescent="0.25">
      <c r="Y60" s="5" t="s">
        <v>550</v>
      </c>
      <c r="Z60">
        <v>1</v>
      </c>
      <c r="AA60">
        <v>17</v>
      </c>
      <c r="AC60" s="6">
        <v>43331</v>
      </c>
      <c r="AD60">
        <v>7</v>
      </c>
      <c r="AE60">
        <v>1</v>
      </c>
      <c r="AG60" s="4">
        <v>42405</v>
      </c>
      <c r="AH60">
        <v>1</v>
      </c>
    </row>
    <row r="61" spans="25:34" x14ac:dyDescent="0.25">
      <c r="Y61" s="4">
        <v>41457</v>
      </c>
      <c r="Z61">
        <v>1</v>
      </c>
      <c r="AA61">
        <v>17</v>
      </c>
      <c r="AC61" s="6">
        <v>43221</v>
      </c>
      <c r="AD61">
        <v>3</v>
      </c>
      <c r="AE61">
        <v>1</v>
      </c>
      <c r="AG61" s="4">
        <v>42408</v>
      </c>
      <c r="AH61">
        <v>1</v>
      </c>
    </row>
    <row r="62" spans="25:34" x14ac:dyDescent="0.25">
      <c r="Y62" s="5" t="s">
        <v>551</v>
      </c>
      <c r="Z62">
        <v>1</v>
      </c>
      <c r="AA62">
        <v>17</v>
      </c>
      <c r="AC62" s="6">
        <v>43156</v>
      </c>
      <c r="AD62">
        <v>19</v>
      </c>
      <c r="AE62">
        <v>1</v>
      </c>
      <c r="AG62" s="4">
        <v>42412</v>
      </c>
      <c r="AH62">
        <v>1</v>
      </c>
    </row>
    <row r="63" spans="25:34" x14ac:dyDescent="0.25">
      <c r="Y63" s="4">
        <v>41501</v>
      </c>
      <c r="Z63">
        <v>1</v>
      </c>
      <c r="AA63">
        <v>17</v>
      </c>
      <c r="AC63" s="6">
        <v>42491</v>
      </c>
      <c r="AD63">
        <v>19</v>
      </c>
      <c r="AE63">
        <v>1</v>
      </c>
      <c r="AG63" s="4">
        <v>42419</v>
      </c>
      <c r="AH63">
        <v>1</v>
      </c>
    </row>
    <row r="64" spans="25:34" x14ac:dyDescent="0.25">
      <c r="Y64" s="5" t="s">
        <v>550</v>
      </c>
      <c r="Z64">
        <v>1</v>
      </c>
      <c r="AA64">
        <v>17</v>
      </c>
      <c r="AC64" s="6">
        <v>42419</v>
      </c>
      <c r="AD64">
        <v>2</v>
      </c>
      <c r="AE64">
        <v>1</v>
      </c>
      <c r="AG64" s="4">
        <v>42421</v>
      </c>
      <c r="AH64">
        <v>1</v>
      </c>
    </row>
    <row r="65" spans="25:34" x14ac:dyDescent="0.25">
      <c r="Y65" s="4">
        <v>41644</v>
      </c>
      <c r="Z65">
        <v>1</v>
      </c>
      <c r="AA65">
        <v>5</v>
      </c>
      <c r="AC65" s="6">
        <v>42259</v>
      </c>
      <c r="AD65">
        <v>8</v>
      </c>
      <c r="AE65">
        <v>1</v>
      </c>
      <c r="AG65" s="4">
        <v>42461</v>
      </c>
      <c r="AH65">
        <v>1</v>
      </c>
    </row>
    <row r="66" spans="25:34" x14ac:dyDescent="0.25">
      <c r="Y66" s="5" t="s">
        <v>550</v>
      </c>
      <c r="Z66">
        <v>1</v>
      </c>
      <c r="AA66">
        <v>5</v>
      </c>
      <c r="AC66" s="6">
        <v>42252</v>
      </c>
      <c r="AD66">
        <v>7</v>
      </c>
      <c r="AE66">
        <v>1</v>
      </c>
      <c r="AG66" s="4">
        <v>42491</v>
      </c>
      <c r="AH66">
        <v>1</v>
      </c>
    </row>
    <row r="67" spans="25:34" x14ac:dyDescent="0.25">
      <c r="Y67" s="4">
        <v>41654</v>
      </c>
      <c r="Z67">
        <v>1</v>
      </c>
      <c r="AA67">
        <v>7</v>
      </c>
      <c r="AC67" s="5"/>
      <c r="AD67">
        <v>468</v>
      </c>
      <c r="AE67">
        <v>53</v>
      </c>
      <c r="AG67" s="4">
        <v>42507</v>
      </c>
      <c r="AH67">
        <v>2</v>
      </c>
    </row>
    <row r="68" spans="25:34" x14ac:dyDescent="0.25">
      <c r="Y68" s="5" t="s">
        <v>553</v>
      </c>
      <c r="Z68">
        <v>1</v>
      </c>
      <c r="AA68">
        <v>7</v>
      </c>
      <c r="AC68" s="3" t="s">
        <v>551</v>
      </c>
      <c r="AG68" s="4">
        <v>42508</v>
      </c>
      <c r="AH68">
        <v>1</v>
      </c>
    </row>
    <row r="69" spans="25:34" x14ac:dyDescent="0.25">
      <c r="Y69" s="4">
        <v>41690</v>
      </c>
      <c r="Z69">
        <v>2</v>
      </c>
      <c r="AA69">
        <v>34</v>
      </c>
      <c r="AC69" s="6">
        <v>43370</v>
      </c>
      <c r="AD69">
        <v>16</v>
      </c>
      <c r="AE69">
        <v>1</v>
      </c>
      <c r="AG69" s="4">
        <v>42515</v>
      </c>
      <c r="AH69">
        <v>1</v>
      </c>
    </row>
    <row r="70" spans="25:34" x14ac:dyDescent="0.25">
      <c r="Y70" s="5" t="s">
        <v>552</v>
      </c>
      <c r="Z70">
        <v>2</v>
      </c>
      <c r="AA70">
        <v>34</v>
      </c>
      <c r="AC70" s="6">
        <v>43004</v>
      </c>
      <c r="AD70">
        <v>18</v>
      </c>
      <c r="AE70">
        <v>1</v>
      </c>
      <c r="AG70" s="4">
        <v>42529</v>
      </c>
      <c r="AH70">
        <v>1</v>
      </c>
    </row>
    <row r="71" spans="25:34" x14ac:dyDescent="0.25">
      <c r="Y71" s="4">
        <v>41702</v>
      </c>
      <c r="Z71">
        <v>1</v>
      </c>
      <c r="AA71">
        <v>5</v>
      </c>
      <c r="AC71" s="6">
        <v>42831</v>
      </c>
      <c r="AD71">
        <v>1</v>
      </c>
      <c r="AE71">
        <v>1</v>
      </c>
      <c r="AG71" s="4">
        <v>42537</v>
      </c>
      <c r="AH71">
        <v>1</v>
      </c>
    </row>
    <row r="72" spans="25:34" x14ac:dyDescent="0.25">
      <c r="Y72" s="5" t="s">
        <v>550</v>
      </c>
      <c r="Z72">
        <v>1</v>
      </c>
      <c r="AA72">
        <v>5</v>
      </c>
      <c r="AC72" s="6">
        <v>42685</v>
      </c>
      <c r="AD72">
        <v>17</v>
      </c>
      <c r="AE72">
        <v>1</v>
      </c>
      <c r="AG72" s="4">
        <v>42618</v>
      </c>
      <c r="AH72">
        <v>1</v>
      </c>
    </row>
    <row r="73" spans="25:34" x14ac:dyDescent="0.25">
      <c r="Y73" s="4">
        <v>41748</v>
      </c>
      <c r="Z73">
        <v>1</v>
      </c>
      <c r="AA73">
        <v>4</v>
      </c>
      <c r="AC73" s="6">
        <v>42632</v>
      </c>
      <c r="AD73">
        <v>15</v>
      </c>
      <c r="AE73">
        <v>1</v>
      </c>
      <c r="AG73" s="4">
        <v>42619</v>
      </c>
      <c r="AH73">
        <v>1</v>
      </c>
    </row>
    <row r="74" spans="25:34" x14ac:dyDescent="0.25">
      <c r="Y74" s="5" t="s">
        <v>550</v>
      </c>
      <c r="Z74">
        <v>1</v>
      </c>
      <c r="AA74">
        <v>4</v>
      </c>
      <c r="AC74" s="6">
        <v>42405</v>
      </c>
      <c r="AD74">
        <v>15</v>
      </c>
      <c r="AE74">
        <v>1</v>
      </c>
      <c r="AG74" s="4">
        <v>42628</v>
      </c>
      <c r="AH74">
        <v>1</v>
      </c>
    </row>
    <row r="75" spans="25:34" x14ac:dyDescent="0.25">
      <c r="Y75" s="4">
        <v>41772</v>
      </c>
      <c r="Z75">
        <v>1</v>
      </c>
      <c r="AA75">
        <v>5</v>
      </c>
      <c r="AC75" s="6">
        <v>42353</v>
      </c>
      <c r="AD75">
        <v>8</v>
      </c>
      <c r="AE75">
        <v>1</v>
      </c>
      <c r="AG75" s="4">
        <v>42632</v>
      </c>
      <c r="AH75">
        <v>1</v>
      </c>
    </row>
    <row r="76" spans="25:34" x14ac:dyDescent="0.25">
      <c r="Y76" s="5" t="s">
        <v>550</v>
      </c>
      <c r="Z76">
        <v>1</v>
      </c>
      <c r="AA76">
        <v>5</v>
      </c>
      <c r="AC76" s="6">
        <v>42312</v>
      </c>
      <c r="AD76">
        <v>8</v>
      </c>
      <c r="AE76">
        <v>1</v>
      </c>
      <c r="AG76" s="4">
        <v>42636</v>
      </c>
      <c r="AH76">
        <v>1</v>
      </c>
    </row>
    <row r="77" spans="25:34" x14ac:dyDescent="0.25">
      <c r="Y77" s="4">
        <v>41774</v>
      </c>
      <c r="Z77">
        <v>1</v>
      </c>
      <c r="AA77">
        <v>11</v>
      </c>
      <c r="AC77" s="6">
        <v>42248</v>
      </c>
      <c r="AD77">
        <v>13</v>
      </c>
      <c r="AE77">
        <v>1</v>
      </c>
      <c r="AG77" s="4">
        <v>42685</v>
      </c>
      <c r="AH77">
        <v>1</v>
      </c>
    </row>
    <row r="78" spans="25:34" x14ac:dyDescent="0.25">
      <c r="Y78" s="5" t="s">
        <v>550</v>
      </c>
      <c r="Z78">
        <v>1</v>
      </c>
      <c r="AA78">
        <v>11</v>
      </c>
      <c r="AC78" s="6">
        <v>42182</v>
      </c>
      <c r="AD78">
        <v>16</v>
      </c>
      <c r="AE78">
        <v>1</v>
      </c>
      <c r="AG78" s="4">
        <v>42689</v>
      </c>
      <c r="AH78">
        <v>1</v>
      </c>
    </row>
    <row r="79" spans="25:34" x14ac:dyDescent="0.25">
      <c r="Y79" s="4">
        <v>41792</v>
      </c>
      <c r="Z79">
        <v>1</v>
      </c>
      <c r="AA79">
        <v>16</v>
      </c>
      <c r="AC79" s="6">
        <v>42180</v>
      </c>
      <c r="AD79">
        <v>15</v>
      </c>
      <c r="AE79">
        <v>1</v>
      </c>
      <c r="AG79" s="4">
        <v>42747</v>
      </c>
      <c r="AH79">
        <v>1</v>
      </c>
    </row>
    <row r="80" spans="25:34" x14ac:dyDescent="0.25">
      <c r="Y80" s="5" t="s">
        <v>551</v>
      </c>
      <c r="Z80">
        <v>1</v>
      </c>
      <c r="AA80">
        <v>16</v>
      </c>
      <c r="AC80" s="6">
        <v>41943</v>
      </c>
      <c r="AD80">
        <v>20</v>
      </c>
      <c r="AE80">
        <v>1</v>
      </c>
      <c r="AG80" s="4">
        <v>42788</v>
      </c>
      <c r="AH80">
        <v>1</v>
      </c>
    </row>
    <row r="81" spans="25:34" x14ac:dyDescent="0.25">
      <c r="Y81" s="4">
        <v>41887</v>
      </c>
      <c r="Z81">
        <v>1</v>
      </c>
      <c r="AA81">
        <v>13</v>
      </c>
      <c r="AC81" s="6">
        <v>41505</v>
      </c>
      <c r="AD81">
        <v>17</v>
      </c>
      <c r="AE81">
        <v>1</v>
      </c>
      <c r="AG81" s="4">
        <v>42831</v>
      </c>
      <c r="AH81">
        <v>1</v>
      </c>
    </row>
    <row r="82" spans="25:34" x14ac:dyDescent="0.25">
      <c r="Y82" s="5" t="s">
        <v>551</v>
      </c>
      <c r="Z82">
        <v>1</v>
      </c>
      <c r="AA82">
        <v>13</v>
      </c>
      <c r="AC82" s="6">
        <v>41443</v>
      </c>
      <c r="AD82">
        <v>16</v>
      </c>
      <c r="AE82">
        <v>1</v>
      </c>
      <c r="AG82" s="4">
        <v>42892</v>
      </c>
      <c r="AH82">
        <v>1</v>
      </c>
    </row>
    <row r="83" spans="25:34" x14ac:dyDescent="0.25">
      <c r="Y83" s="4">
        <v>42008</v>
      </c>
      <c r="Z83">
        <v>1</v>
      </c>
      <c r="AA83">
        <v>8</v>
      </c>
      <c r="AC83" s="6">
        <v>41440</v>
      </c>
      <c r="AD83">
        <v>6</v>
      </c>
      <c r="AE83">
        <v>1</v>
      </c>
      <c r="AG83" s="4">
        <v>42924</v>
      </c>
      <c r="AH83">
        <v>1</v>
      </c>
    </row>
    <row r="84" spans="25:34" x14ac:dyDescent="0.25">
      <c r="Y84" s="5" t="s">
        <v>551</v>
      </c>
      <c r="Z84">
        <v>1</v>
      </c>
      <c r="AA84">
        <v>8</v>
      </c>
      <c r="AC84" s="6">
        <v>41379</v>
      </c>
      <c r="AD84">
        <v>20</v>
      </c>
      <c r="AE84">
        <v>1</v>
      </c>
      <c r="AG84" s="4">
        <v>42951</v>
      </c>
      <c r="AH84">
        <v>1</v>
      </c>
    </row>
    <row r="85" spans="25:34" x14ac:dyDescent="0.25">
      <c r="Y85" s="4">
        <v>42014</v>
      </c>
      <c r="Z85">
        <v>1</v>
      </c>
      <c r="AA85">
        <v>11</v>
      </c>
      <c r="AC85" s="5"/>
      <c r="AD85">
        <v>291</v>
      </c>
      <c r="AE85">
        <v>29</v>
      </c>
      <c r="AG85" s="4">
        <v>43004</v>
      </c>
      <c r="AH85">
        <v>1</v>
      </c>
    </row>
    <row r="86" spans="25:34" x14ac:dyDescent="0.25">
      <c r="Y86" s="5" t="s">
        <v>550</v>
      </c>
      <c r="Z86">
        <v>1</v>
      </c>
      <c r="AA86">
        <v>11</v>
      </c>
      <c r="AC86" s="3" t="s">
        <v>552</v>
      </c>
      <c r="AG86" s="4">
        <v>43097</v>
      </c>
      <c r="AH86">
        <v>1</v>
      </c>
    </row>
    <row r="87" spans="25:34" x14ac:dyDescent="0.25">
      <c r="Y87" s="4">
        <v>42019</v>
      </c>
      <c r="Z87">
        <v>1</v>
      </c>
      <c r="AA87">
        <v>8</v>
      </c>
      <c r="AC87" s="6">
        <v>43205</v>
      </c>
      <c r="AD87">
        <v>9</v>
      </c>
      <c r="AE87">
        <v>1</v>
      </c>
      <c r="AG87" s="4">
        <v>43156</v>
      </c>
      <c r="AH87">
        <v>1</v>
      </c>
    </row>
    <row r="88" spans="25:34" x14ac:dyDescent="0.25">
      <c r="Y88" s="5" t="s">
        <v>553</v>
      </c>
      <c r="Z88">
        <v>1</v>
      </c>
      <c r="AA88">
        <v>8</v>
      </c>
      <c r="AC88" s="6">
        <v>42628</v>
      </c>
      <c r="AD88">
        <v>15</v>
      </c>
      <c r="AE88">
        <v>1</v>
      </c>
      <c r="AG88" s="4">
        <v>43197</v>
      </c>
      <c r="AH88">
        <v>1</v>
      </c>
    </row>
    <row r="89" spans="25:34" x14ac:dyDescent="0.25">
      <c r="Y89" s="4">
        <v>42024</v>
      </c>
      <c r="Z89">
        <v>2</v>
      </c>
      <c r="AA89">
        <v>25</v>
      </c>
      <c r="AC89" s="6">
        <v>42515</v>
      </c>
      <c r="AD89">
        <v>10</v>
      </c>
      <c r="AE89">
        <v>1</v>
      </c>
      <c r="AG89" s="4">
        <v>43205</v>
      </c>
      <c r="AH89">
        <v>1</v>
      </c>
    </row>
    <row r="90" spans="25:34" x14ac:dyDescent="0.25">
      <c r="Y90" s="5" t="s">
        <v>551</v>
      </c>
      <c r="Z90">
        <v>1</v>
      </c>
      <c r="AA90">
        <v>15</v>
      </c>
      <c r="AC90" s="6">
        <v>42421</v>
      </c>
      <c r="AD90">
        <v>7</v>
      </c>
      <c r="AE90">
        <v>1</v>
      </c>
      <c r="AG90" s="4">
        <v>43219</v>
      </c>
      <c r="AH90">
        <v>1</v>
      </c>
    </row>
    <row r="91" spans="25:34" x14ac:dyDescent="0.25">
      <c r="Y91" s="5" t="s">
        <v>554</v>
      </c>
      <c r="Z91">
        <v>1</v>
      </c>
      <c r="AA91">
        <v>10</v>
      </c>
      <c r="AC91" s="6">
        <v>42184</v>
      </c>
      <c r="AD91">
        <v>16</v>
      </c>
      <c r="AE91">
        <v>1</v>
      </c>
      <c r="AG91" s="4">
        <v>43221</v>
      </c>
      <c r="AH91">
        <v>1</v>
      </c>
    </row>
    <row r="92" spans="25:34" x14ac:dyDescent="0.25">
      <c r="Y92" s="4">
        <v>42036</v>
      </c>
      <c r="Z92">
        <v>1</v>
      </c>
      <c r="AA92">
        <v>18</v>
      </c>
      <c r="AC92" s="6">
        <v>41858</v>
      </c>
      <c r="AD92">
        <v>14</v>
      </c>
      <c r="AE92">
        <v>1</v>
      </c>
      <c r="AG92" s="4">
        <v>43255</v>
      </c>
      <c r="AH92">
        <v>1</v>
      </c>
    </row>
    <row r="93" spans="25:34" x14ac:dyDescent="0.25">
      <c r="Y93" s="5" t="s">
        <v>550</v>
      </c>
      <c r="Z93">
        <v>1</v>
      </c>
      <c r="AA93">
        <v>18</v>
      </c>
      <c r="AC93" s="6">
        <v>41729</v>
      </c>
      <c r="AD93">
        <v>20</v>
      </c>
      <c r="AE93">
        <v>1</v>
      </c>
      <c r="AG93" s="4">
        <v>43311</v>
      </c>
      <c r="AH93">
        <v>1</v>
      </c>
    </row>
    <row r="94" spans="25:34" x14ac:dyDescent="0.25">
      <c r="Y94" s="4">
        <v>42037</v>
      </c>
      <c r="Z94">
        <v>1</v>
      </c>
      <c r="AA94">
        <v>17</v>
      </c>
      <c r="AC94" s="5"/>
      <c r="AD94">
        <v>365</v>
      </c>
      <c r="AE94">
        <v>37</v>
      </c>
      <c r="AG94" s="4">
        <v>43325</v>
      </c>
      <c r="AH94">
        <v>1</v>
      </c>
    </row>
    <row r="95" spans="25:34" x14ac:dyDescent="0.25">
      <c r="Y95" s="5" t="s">
        <v>550</v>
      </c>
      <c r="Z95">
        <v>1</v>
      </c>
      <c r="AA95">
        <v>17</v>
      </c>
      <c r="AC95" s="3" t="s">
        <v>554</v>
      </c>
      <c r="AG95" s="4">
        <v>43331</v>
      </c>
      <c r="AH95">
        <v>2</v>
      </c>
    </row>
    <row r="96" spans="25:34" x14ac:dyDescent="0.25">
      <c r="Y96" s="4">
        <v>42041</v>
      </c>
      <c r="Z96">
        <v>1</v>
      </c>
      <c r="AA96">
        <v>2</v>
      </c>
      <c r="AC96" s="6">
        <v>43414</v>
      </c>
      <c r="AD96">
        <v>12</v>
      </c>
      <c r="AE96">
        <v>1</v>
      </c>
      <c r="AG96" s="4">
        <v>43369</v>
      </c>
      <c r="AH96">
        <v>1</v>
      </c>
    </row>
    <row r="97" spans="25:34" x14ac:dyDescent="0.25">
      <c r="Y97" s="5" t="s">
        <v>550</v>
      </c>
      <c r="Z97">
        <v>1</v>
      </c>
      <c r="AA97">
        <v>2</v>
      </c>
      <c r="AC97" s="6">
        <v>42788</v>
      </c>
      <c r="AD97">
        <v>9</v>
      </c>
      <c r="AE97">
        <v>1</v>
      </c>
      <c r="AG97" s="4">
        <v>43370</v>
      </c>
      <c r="AH97">
        <v>1</v>
      </c>
    </row>
    <row r="98" spans="25:34" x14ac:dyDescent="0.25">
      <c r="Y98" s="4">
        <v>42050</v>
      </c>
      <c r="Z98">
        <v>2</v>
      </c>
      <c r="AA98">
        <v>16</v>
      </c>
      <c r="AC98" s="6">
        <v>42537</v>
      </c>
      <c r="AD98">
        <v>17</v>
      </c>
      <c r="AE98">
        <v>1</v>
      </c>
      <c r="AG98" s="4">
        <v>43414</v>
      </c>
      <c r="AH98">
        <v>1</v>
      </c>
    </row>
    <row r="99" spans="25:34" x14ac:dyDescent="0.25">
      <c r="Y99" s="5" t="s">
        <v>550</v>
      </c>
      <c r="Z99">
        <v>2</v>
      </c>
      <c r="AA99">
        <v>16</v>
      </c>
      <c r="AC99" s="6">
        <v>42412</v>
      </c>
      <c r="AD99">
        <v>11</v>
      </c>
      <c r="AE99">
        <v>1</v>
      </c>
      <c r="AG99" s="3" t="s">
        <v>504</v>
      </c>
      <c r="AH99">
        <v>311</v>
      </c>
    </row>
    <row r="100" spans="25:34" x14ac:dyDescent="0.25">
      <c r="Y100" s="4">
        <v>42064</v>
      </c>
      <c r="Z100">
        <v>1</v>
      </c>
      <c r="AA100">
        <v>16</v>
      </c>
      <c r="AC100" s="6">
        <v>42308</v>
      </c>
      <c r="AD100">
        <v>2</v>
      </c>
      <c r="AE100">
        <v>1</v>
      </c>
    </row>
    <row r="101" spans="25:34" x14ac:dyDescent="0.25">
      <c r="Y101" s="5" t="s">
        <v>550</v>
      </c>
      <c r="Z101">
        <v>1</v>
      </c>
      <c r="AA101">
        <v>16</v>
      </c>
      <c r="AC101" s="6">
        <v>42109</v>
      </c>
      <c r="AD101">
        <v>6</v>
      </c>
      <c r="AE101">
        <v>1</v>
      </c>
    </row>
    <row r="102" spans="25:34" x14ac:dyDescent="0.25">
      <c r="Y102" s="4">
        <v>42065</v>
      </c>
      <c r="Z102">
        <v>1</v>
      </c>
      <c r="AA102">
        <v>16</v>
      </c>
      <c r="AC102" s="6">
        <v>42078</v>
      </c>
      <c r="AD102">
        <v>10</v>
      </c>
      <c r="AE102">
        <v>1</v>
      </c>
    </row>
    <row r="103" spans="25:34" x14ac:dyDescent="0.25">
      <c r="Y103" s="5" t="s">
        <v>552</v>
      </c>
      <c r="Z103">
        <v>1</v>
      </c>
      <c r="AA103">
        <v>16</v>
      </c>
      <c r="AC103" s="5"/>
      <c r="AD103">
        <v>282</v>
      </c>
      <c r="AE103">
        <v>29</v>
      </c>
    </row>
    <row r="104" spans="25:34" x14ac:dyDescent="0.25">
      <c r="Y104" s="4">
        <v>42068</v>
      </c>
      <c r="Z104">
        <v>1</v>
      </c>
      <c r="AA104">
        <v>6</v>
      </c>
      <c r="AC104" s="3" t="s">
        <v>555</v>
      </c>
    </row>
    <row r="105" spans="25:34" x14ac:dyDescent="0.25">
      <c r="Y105" s="5" t="s">
        <v>549</v>
      </c>
      <c r="Z105">
        <v>1</v>
      </c>
      <c r="AA105">
        <v>6</v>
      </c>
      <c r="AC105" s="5"/>
      <c r="AD105">
        <v>129</v>
      </c>
      <c r="AE105">
        <v>14</v>
      </c>
    </row>
    <row r="106" spans="25:34" x14ac:dyDescent="0.25">
      <c r="Y106" s="4">
        <v>42073</v>
      </c>
      <c r="Z106">
        <v>1</v>
      </c>
      <c r="AA106">
        <v>3</v>
      </c>
      <c r="AC106" s="3" t="s">
        <v>549</v>
      </c>
    </row>
    <row r="107" spans="25:34" x14ac:dyDescent="0.25">
      <c r="Y107" s="5" t="s">
        <v>550</v>
      </c>
      <c r="Z107">
        <v>1</v>
      </c>
      <c r="AA107">
        <v>3</v>
      </c>
      <c r="AC107" s="6">
        <v>42508</v>
      </c>
      <c r="AD107">
        <v>6</v>
      </c>
      <c r="AE107">
        <v>1</v>
      </c>
    </row>
    <row r="108" spans="25:34" x14ac:dyDescent="0.25">
      <c r="Y108" s="4">
        <v>42093</v>
      </c>
      <c r="Z108">
        <v>1</v>
      </c>
      <c r="AA108">
        <v>11</v>
      </c>
      <c r="AC108" s="6">
        <v>40812</v>
      </c>
      <c r="AD108">
        <v>6</v>
      </c>
      <c r="AE108">
        <v>1</v>
      </c>
    </row>
    <row r="109" spans="25:34" x14ac:dyDescent="0.25">
      <c r="Y109" s="5" t="s">
        <v>550</v>
      </c>
      <c r="Z109">
        <v>1</v>
      </c>
      <c r="AA109">
        <v>11</v>
      </c>
      <c r="AC109" s="6">
        <v>40693</v>
      </c>
      <c r="AD109">
        <v>10</v>
      </c>
      <c r="AE109">
        <v>1</v>
      </c>
    </row>
    <row r="110" spans="25:34" x14ac:dyDescent="0.25">
      <c r="Y110" s="4">
        <v>42096</v>
      </c>
      <c r="Z110">
        <v>1</v>
      </c>
      <c r="AA110">
        <v>20</v>
      </c>
      <c r="AC110" s="5"/>
      <c r="AD110">
        <v>57</v>
      </c>
      <c r="AE110">
        <v>6</v>
      </c>
    </row>
    <row r="111" spans="25:34" x14ac:dyDescent="0.25">
      <c r="Y111" s="5" t="s">
        <v>563</v>
      </c>
      <c r="Z111">
        <v>1</v>
      </c>
      <c r="AA111">
        <v>20</v>
      </c>
      <c r="AC111" s="3" t="s">
        <v>563</v>
      </c>
    </row>
    <row r="112" spans="25:34" x14ac:dyDescent="0.25">
      <c r="Y112" s="4">
        <v>42109</v>
      </c>
      <c r="Z112">
        <v>2</v>
      </c>
      <c r="AA112">
        <v>17</v>
      </c>
      <c r="AC112" s="6">
        <v>43311</v>
      </c>
      <c r="AD112">
        <v>7</v>
      </c>
      <c r="AE112">
        <v>1</v>
      </c>
    </row>
    <row r="113" spans="25:31" x14ac:dyDescent="0.25">
      <c r="Y113" s="5" t="s">
        <v>554</v>
      </c>
      <c r="Z113">
        <v>2</v>
      </c>
      <c r="AA113">
        <v>17</v>
      </c>
      <c r="AC113" s="6">
        <v>42102</v>
      </c>
      <c r="AD113">
        <v>20</v>
      </c>
      <c r="AE113">
        <v>1</v>
      </c>
    </row>
    <row r="114" spans="25:31" x14ac:dyDescent="0.25">
      <c r="Y114" s="4">
        <v>42114</v>
      </c>
      <c r="Z114">
        <v>1</v>
      </c>
      <c r="AA114">
        <v>2</v>
      </c>
      <c r="AC114" s="6">
        <v>41365</v>
      </c>
      <c r="AD114">
        <v>11</v>
      </c>
      <c r="AE114">
        <v>1</v>
      </c>
    </row>
    <row r="115" spans="25:31" x14ac:dyDescent="0.25">
      <c r="Y115" s="5" t="s">
        <v>554</v>
      </c>
      <c r="Z115">
        <v>1</v>
      </c>
      <c r="AA115">
        <v>2</v>
      </c>
      <c r="AC115" s="5"/>
      <c r="AD115">
        <v>34</v>
      </c>
      <c r="AE115">
        <v>4</v>
      </c>
    </row>
    <row r="116" spans="25:31" x14ac:dyDescent="0.25">
      <c r="Y116" s="4">
        <v>42126</v>
      </c>
      <c r="Z116">
        <v>1</v>
      </c>
      <c r="AA116">
        <v>8</v>
      </c>
      <c r="AC116" s="3" t="s">
        <v>556</v>
      </c>
    </row>
    <row r="117" spans="25:31" x14ac:dyDescent="0.25">
      <c r="Y117" s="5" t="s">
        <v>551</v>
      </c>
      <c r="Z117">
        <v>1</v>
      </c>
      <c r="AA117">
        <v>8</v>
      </c>
      <c r="AC117" s="5"/>
      <c r="AD117">
        <v>88</v>
      </c>
      <c r="AE117">
        <v>6</v>
      </c>
    </row>
    <row r="118" spans="25:31" x14ac:dyDescent="0.25">
      <c r="Y118" s="4">
        <v>42130</v>
      </c>
      <c r="Z118">
        <v>1</v>
      </c>
      <c r="AA118">
        <v>1</v>
      </c>
      <c r="AC118" s="3" t="s">
        <v>562</v>
      </c>
    </row>
    <row r="119" spans="25:31" x14ac:dyDescent="0.25">
      <c r="Y119" s="5" t="s">
        <v>550</v>
      </c>
      <c r="Z119">
        <v>1</v>
      </c>
      <c r="AA119">
        <v>1</v>
      </c>
      <c r="AC119" s="6">
        <v>42276</v>
      </c>
      <c r="AD119">
        <v>4</v>
      </c>
      <c r="AE119">
        <v>1</v>
      </c>
    </row>
    <row r="120" spans="25:31" x14ac:dyDescent="0.25">
      <c r="Y120" s="4">
        <v>42232</v>
      </c>
      <c r="Z120">
        <v>1</v>
      </c>
      <c r="AA120">
        <v>13</v>
      </c>
      <c r="AC120" s="5"/>
      <c r="AD120">
        <v>29</v>
      </c>
      <c r="AE120">
        <v>2</v>
      </c>
    </row>
    <row r="121" spans="25:31" x14ac:dyDescent="0.25">
      <c r="Y121" s="5" t="s">
        <v>550</v>
      </c>
      <c r="Z121">
        <v>1</v>
      </c>
      <c r="AA121">
        <v>13</v>
      </c>
      <c r="AC121" s="3" t="s">
        <v>561</v>
      </c>
    </row>
    <row r="122" spans="25:31" x14ac:dyDescent="0.25">
      <c r="Y122" s="4">
        <v>42249</v>
      </c>
      <c r="Z122">
        <v>1</v>
      </c>
      <c r="AA122">
        <v>4</v>
      </c>
      <c r="AC122" s="6">
        <v>40420</v>
      </c>
      <c r="AD122">
        <v>15</v>
      </c>
      <c r="AE122">
        <v>1</v>
      </c>
    </row>
    <row r="123" spans="25:31" x14ac:dyDescent="0.25">
      <c r="Y123" s="5" t="s">
        <v>562</v>
      </c>
      <c r="Z123">
        <v>1</v>
      </c>
      <c r="AA123">
        <v>4</v>
      </c>
      <c r="AC123" s="5"/>
      <c r="AD123">
        <v>15</v>
      </c>
      <c r="AE123">
        <v>1</v>
      </c>
    </row>
    <row r="124" spans="25:31" x14ac:dyDescent="0.25">
      <c r="Y124" s="4">
        <v>42379</v>
      </c>
      <c r="Z124">
        <v>1</v>
      </c>
      <c r="AA124">
        <v>2</v>
      </c>
      <c r="AC124" s="3" t="s">
        <v>557</v>
      </c>
    </row>
    <row r="125" spans="25:31" x14ac:dyDescent="0.25">
      <c r="Y125" s="5" t="s">
        <v>553</v>
      </c>
      <c r="Z125">
        <v>1</v>
      </c>
      <c r="AA125">
        <v>2</v>
      </c>
      <c r="AC125" s="5"/>
      <c r="AD125">
        <v>2</v>
      </c>
      <c r="AE125">
        <v>1</v>
      </c>
    </row>
    <row r="126" spans="25:31" x14ac:dyDescent="0.25">
      <c r="Y126" s="4">
        <v>42385</v>
      </c>
      <c r="Z126">
        <v>1</v>
      </c>
      <c r="AA126">
        <v>19</v>
      </c>
      <c r="AC126" s="3" t="s">
        <v>560</v>
      </c>
    </row>
    <row r="127" spans="25:31" x14ac:dyDescent="0.25">
      <c r="Y127" s="5" t="s">
        <v>553</v>
      </c>
      <c r="Z127">
        <v>1</v>
      </c>
      <c r="AA127">
        <v>19</v>
      </c>
      <c r="AC127" s="5"/>
      <c r="AD127">
        <v>6</v>
      </c>
      <c r="AE127">
        <v>1</v>
      </c>
    </row>
    <row r="128" spans="25:31" x14ac:dyDescent="0.25">
      <c r="Y128" s="4">
        <v>42388</v>
      </c>
      <c r="Z128">
        <v>1</v>
      </c>
      <c r="AA128">
        <v>7</v>
      </c>
      <c r="AC128" s="3" t="s">
        <v>504</v>
      </c>
      <c r="AD128">
        <v>3184</v>
      </c>
      <c r="AE128">
        <v>311</v>
      </c>
    </row>
    <row r="129" spans="25:27" x14ac:dyDescent="0.25">
      <c r="Y129" s="5" t="s">
        <v>552</v>
      </c>
      <c r="Z129">
        <v>1</v>
      </c>
      <c r="AA129">
        <v>7</v>
      </c>
    </row>
    <row r="130" spans="25:27" x14ac:dyDescent="0.25">
      <c r="Y130" s="4">
        <v>42399</v>
      </c>
      <c r="Z130">
        <v>1</v>
      </c>
      <c r="AA130">
        <v>12</v>
      </c>
    </row>
    <row r="131" spans="25:27" x14ac:dyDescent="0.25">
      <c r="Y131" s="5" t="s">
        <v>550</v>
      </c>
      <c r="Z131">
        <v>1</v>
      </c>
      <c r="AA131">
        <v>12</v>
      </c>
    </row>
    <row r="132" spans="25:27" x14ac:dyDescent="0.25">
      <c r="Y132" s="4">
        <v>42401</v>
      </c>
      <c r="Z132">
        <v>2</v>
      </c>
      <c r="AA132">
        <v>17</v>
      </c>
    </row>
    <row r="133" spans="25:27" x14ac:dyDescent="0.25">
      <c r="Y133" s="5" t="s">
        <v>550</v>
      </c>
      <c r="Z133">
        <v>1</v>
      </c>
      <c r="AA133">
        <v>2</v>
      </c>
    </row>
    <row r="134" spans="25:27" x14ac:dyDescent="0.25">
      <c r="Y134" s="5" t="s">
        <v>551</v>
      </c>
      <c r="Z134">
        <v>1</v>
      </c>
      <c r="AA134">
        <v>15</v>
      </c>
    </row>
    <row r="135" spans="25:27" x14ac:dyDescent="0.25">
      <c r="Y135" s="4">
        <v>42403</v>
      </c>
      <c r="Z135">
        <v>1</v>
      </c>
      <c r="AA135">
        <v>4</v>
      </c>
    </row>
    <row r="136" spans="25:27" x14ac:dyDescent="0.25">
      <c r="Y136" s="5" t="s">
        <v>550</v>
      </c>
      <c r="Z136">
        <v>1</v>
      </c>
      <c r="AA136">
        <v>4</v>
      </c>
    </row>
    <row r="137" spans="25:27" x14ac:dyDescent="0.25">
      <c r="Y137" s="4">
        <v>42404</v>
      </c>
      <c r="Z137">
        <v>1</v>
      </c>
      <c r="AA137">
        <v>16</v>
      </c>
    </row>
    <row r="138" spans="25:27" x14ac:dyDescent="0.25">
      <c r="Y138" s="5" t="s">
        <v>550</v>
      </c>
      <c r="Z138">
        <v>1</v>
      </c>
      <c r="AA138">
        <v>16</v>
      </c>
    </row>
    <row r="139" spans="25:27" x14ac:dyDescent="0.25">
      <c r="Y139" s="4">
        <v>42405</v>
      </c>
      <c r="Z139">
        <v>1</v>
      </c>
      <c r="AA139">
        <v>17</v>
      </c>
    </row>
    <row r="140" spans="25:27" x14ac:dyDescent="0.25">
      <c r="Y140" s="5" t="s">
        <v>551</v>
      </c>
      <c r="Z140">
        <v>1</v>
      </c>
      <c r="AA140">
        <v>17</v>
      </c>
    </row>
    <row r="141" spans="25:27" x14ac:dyDescent="0.25">
      <c r="Y141" s="4">
        <v>42424</v>
      </c>
      <c r="Z141">
        <v>1</v>
      </c>
      <c r="AA141">
        <v>17</v>
      </c>
    </row>
    <row r="142" spans="25:27" x14ac:dyDescent="0.25">
      <c r="Y142" s="5" t="s">
        <v>554</v>
      </c>
      <c r="Z142">
        <v>1</v>
      </c>
      <c r="AA142">
        <v>17</v>
      </c>
    </row>
    <row r="143" spans="25:27" x14ac:dyDescent="0.25">
      <c r="Y143" s="4">
        <v>42431</v>
      </c>
      <c r="Z143">
        <v>1</v>
      </c>
      <c r="AA143">
        <v>1</v>
      </c>
    </row>
    <row r="144" spans="25:27" x14ac:dyDescent="0.25">
      <c r="Y144" s="5" t="s">
        <v>550</v>
      </c>
      <c r="Z144">
        <v>1</v>
      </c>
      <c r="AA144">
        <v>1</v>
      </c>
    </row>
    <row r="145" spans="25:27" x14ac:dyDescent="0.25">
      <c r="Y145" s="4">
        <v>42435</v>
      </c>
      <c r="Z145">
        <v>1</v>
      </c>
      <c r="AA145">
        <v>10</v>
      </c>
    </row>
    <row r="146" spans="25:27" x14ac:dyDescent="0.25">
      <c r="Y146" s="5" t="s">
        <v>552</v>
      </c>
      <c r="Z146">
        <v>1</v>
      </c>
      <c r="AA146">
        <v>10</v>
      </c>
    </row>
    <row r="147" spans="25:27" x14ac:dyDescent="0.25">
      <c r="Y147" s="4">
        <v>42462</v>
      </c>
      <c r="Z147">
        <v>1</v>
      </c>
      <c r="AA147">
        <v>14</v>
      </c>
    </row>
    <row r="148" spans="25:27" x14ac:dyDescent="0.25">
      <c r="Y148" s="5" t="s">
        <v>550</v>
      </c>
      <c r="Z148">
        <v>1</v>
      </c>
      <c r="AA148">
        <v>14</v>
      </c>
    </row>
    <row r="149" spans="25:27" x14ac:dyDescent="0.25">
      <c r="Y149" s="4">
        <v>42465</v>
      </c>
      <c r="Z149">
        <v>1</v>
      </c>
      <c r="AA149">
        <v>16</v>
      </c>
    </row>
    <row r="150" spans="25:27" x14ac:dyDescent="0.25">
      <c r="Y150" s="5" t="s">
        <v>550</v>
      </c>
      <c r="Z150">
        <v>1</v>
      </c>
      <c r="AA150">
        <v>16</v>
      </c>
    </row>
    <row r="151" spans="25:27" x14ac:dyDescent="0.25">
      <c r="Y151" s="4">
        <v>42489</v>
      </c>
      <c r="Z151">
        <v>1</v>
      </c>
      <c r="AA151">
        <v>2</v>
      </c>
    </row>
    <row r="152" spans="25:27" x14ac:dyDescent="0.25">
      <c r="Y152" s="5" t="s">
        <v>550</v>
      </c>
      <c r="Z152">
        <v>1</v>
      </c>
      <c r="AA152">
        <v>2</v>
      </c>
    </row>
    <row r="153" spans="25:27" x14ac:dyDescent="0.25">
      <c r="Y153" s="4">
        <v>42491</v>
      </c>
      <c r="Z153">
        <v>1</v>
      </c>
      <c r="AA153">
        <v>16</v>
      </c>
    </row>
    <row r="154" spans="25:27" x14ac:dyDescent="0.25">
      <c r="Y154" s="5" t="s">
        <v>550</v>
      </c>
      <c r="Z154">
        <v>1</v>
      </c>
      <c r="AA154">
        <v>16</v>
      </c>
    </row>
    <row r="155" spans="25:27" x14ac:dyDescent="0.25">
      <c r="Y155" s="4">
        <v>42496</v>
      </c>
      <c r="Z155">
        <v>1</v>
      </c>
      <c r="AA155">
        <v>15</v>
      </c>
    </row>
    <row r="156" spans="25:27" x14ac:dyDescent="0.25">
      <c r="Y156" s="5" t="s">
        <v>551</v>
      </c>
      <c r="Z156">
        <v>1</v>
      </c>
      <c r="AA156">
        <v>15</v>
      </c>
    </row>
    <row r="157" spans="25:27" x14ac:dyDescent="0.25">
      <c r="Y157" s="4">
        <v>42531</v>
      </c>
      <c r="Z157">
        <v>1</v>
      </c>
      <c r="AA157">
        <v>15</v>
      </c>
    </row>
    <row r="158" spans="25:27" x14ac:dyDescent="0.25">
      <c r="Y158" s="5" t="s">
        <v>552</v>
      </c>
      <c r="Z158">
        <v>1</v>
      </c>
      <c r="AA158">
        <v>15</v>
      </c>
    </row>
    <row r="159" spans="25:27" x14ac:dyDescent="0.25">
      <c r="Y159" s="4">
        <v>42750</v>
      </c>
      <c r="Z159">
        <v>1</v>
      </c>
      <c r="AA159">
        <v>19</v>
      </c>
    </row>
    <row r="160" spans="25:27" x14ac:dyDescent="0.25">
      <c r="Y160" s="5" t="s">
        <v>553</v>
      </c>
      <c r="Z160">
        <v>1</v>
      </c>
      <c r="AA160">
        <v>19</v>
      </c>
    </row>
    <row r="161" spans="25:27" x14ac:dyDescent="0.25">
      <c r="Y161" s="4">
        <v>42778</v>
      </c>
      <c r="Z161">
        <v>1</v>
      </c>
      <c r="AA161">
        <v>9</v>
      </c>
    </row>
    <row r="162" spans="25:27" x14ac:dyDescent="0.25">
      <c r="Y162" s="5" t="s">
        <v>552</v>
      </c>
      <c r="Z162">
        <v>1</v>
      </c>
      <c r="AA162">
        <v>9</v>
      </c>
    </row>
    <row r="163" spans="25:27" x14ac:dyDescent="0.25">
      <c r="Y163" s="4">
        <v>42781</v>
      </c>
      <c r="Z163">
        <v>1</v>
      </c>
      <c r="AA163">
        <v>9</v>
      </c>
    </row>
    <row r="164" spans="25:27" x14ac:dyDescent="0.25">
      <c r="Y164" s="5" t="s">
        <v>554</v>
      </c>
      <c r="Z164">
        <v>1</v>
      </c>
      <c r="AA164">
        <v>9</v>
      </c>
    </row>
    <row r="165" spans="25:27" x14ac:dyDescent="0.25">
      <c r="Y165" s="4">
        <v>42796</v>
      </c>
      <c r="Z165">
        <v>1</v>
      </c>
      <c r="AA165">
        <v>1</v>
      </c>
    </row>
    <row r="166" spans="25:27" x14ac:dyDescent="0.25">
      <c r="Y166" s="5" t="s">
        <v>551</v>
      </c>
      <c r="Z166">
        <v>1</v>
      </c>
      <c r="AA166">
        <v>1</v>
      </c>
    </row>
    <row r="167" spans="25:27" x14ac:dyDescent="0.25">
      <c r="Y167" s="4">
        <v>42826</v>
      </c>
      <c r="Z167">
        <v>1</v>
      </c>
      <c r="AA167">
        <v>18</v>
      </c>
    </row>
    <row r="168" spans="25:27" x14ac:dyDescent="0.25">
      <c r="Y168" s="5" t="s">
        <v>551</v>
      </c>
      <c r="Z168">
        <v>1</v>
      </c>
      <c r="AA168">
        <v>18</v>
      </c>
    </row>
    <row r="169" spans="25:27" x14ac:dyDescent="0.25">
      <c r="Y169" s="4">
        <v>42830</v>
      </c>
      <c r="Z169">
        <v>1</v>
      </c>
      <c r="AA169">
        <v>20</v>
      </c>
    </row>
    <row r="170" spans="25:27" x14ac:dyDescent="0.25">
      <c r="Y170" s="5" t="s">
        <v>550</v>
      </c>
      <c r="Z170">
        <v>1</v>
      </c>
      <c r="AA170">
        <v>20</v>
      </c>
    </row>
    <row r="171" spans="25:27" x14ac:dyDescent="0.25">
      <c r="Y171" s="4">
        <v>42831</v>
      </c>
      <c r="Z171">
        <v>1</v>
      </c>
      <c r="AA171">
        <v>15</v>
      </c>
    </row>
    <row r="172" spans="25:27" x14ac:dyDescent="0.25">
      <c r="Y172" s="5" t="s">
        <v>550</v>
      </c>
      <c r="Z172">
        <v>1</v>
      </c>
      <c r="AA172">
        <v>15</v>
      </c>
    </row>
    <row r="173" spans="25:27" x14ac:dyDescent="0.25">
      <c r="Y173" s="4">
        <v>42834</v>
      </c>
      <c r="Z173">
        <v>1</v>
      </c>
      <c r="AA173">
        <v>7</v>
      </c>
    </row>
    <row r="174" spans="25:27" x14ac:dyDescent="0.25">
      <c r="Y174" s="5" t="s">
        <v>550</v>
      </c>
      <c r="Z174">
        <v>1</v>
      </c>
      <c r="AA174">
        <v>7</v>
      </c>
    </row>
    <row r="175" spans="25:27" x14ac:dyDescent="0.25">
      <c r="Y175" s="4">
        <v>42843</v>
      </c>
      <c r="Z175">
        <v>1</v>
      </c>
      <c r="AA175">
        <v>3</v>
      </c>
    </row>
    <row r="176" spans="25:27" x14ac:dyDescent="0.25">
      <c r="Y176" s="5" t="s">
        <v>550</v>
      </c>
      <c r="Z176">
        <v>1</v>
      </c>
      <c r="AA176">
        <v>3</v>
      </c>
    </row>
    <row r="177" spans="25:27" x14ac:dyDescent="0.25">
      <c r="Y177" s="4">
        <v>42918</v>
      </c>
      <c r="Z177">
        <v>1</v>
      </c>
      <c r="AA177">
        <v>17</v>
      </c>
    </row>
    <row r="178" spans="25:27" x14ac:dyDescent="0.25">
      <c r="Y178" s="5" t="s">
        <v>550</v>
      </c>
      <c r="Z178">
        <v>1</v>
      </c>
      <c r="AA178">
        <v>17</v>
      </c>
    </row>
    <row r="179" spans="25:27" x14ac:dyDescent="0.25">
      <c r="Y179" s="4">
        <v>43135</v>
      </c>
      <c r="Z179">
        <v>1</v>
      </c>
      <c r="AA179">
        <v>19</v>
      </c>
    </row>
    <row r="180" spans="25:27" x14ac:dyDescent="0.25">
      <c r="Y180" s="5" t="s">
        <v>550</v>
      </c>
      <c r="Z180">
        <v>1</v>
      </c>
      <c r="AA180">
        <v>19</v>
      </c>
    </row>
    <row r="181" spans="25:27" x14ac:dyDescent="0.25">
      <c r="Y181" s="4">
        <v>43136</v>
      </c>
      <c r="Z181">
        <v>1</v>
      </c>
      <c r="AA181">
        <v>7</v>
      </c>
    </row>
    <row r="182" spans="25:27" x14ac:dyDescent="0.25">
      <c r="Y182" s="5" t="s">
        <v>563</v>
      </c>
      <c r="Z182">
        <v>1</v>
      </c>
      <c r="AA182">
        <v>7</v>
      </c>
    </row>
    <row r="183" spans="25:27" x14ac:dyDescent="0.25">
      <c r="Y183" s="4">
        <v>43144</v>
      </c>
      <c r="Z183">
        <v>1</v>
      </c>
      <c r="AA183">
        <v>12</v>
      </c>
    </row>
    <row r="184" spans="25:27" x14ac:dyDescent="0.25">
      <c r="Y184" s="5" t="s">
        <v>554</v>
      </c>
      <c r="Z184">
        <v>1</v>
      </c>
      <c r="AA184">
        <v>12</v>
      </c>
    </row>
    <row r="185" spans="25:27" x14ac:dyDescent="0.25">
      <c r="Y185" s="4">
        <v>43145</v>
      </c>
      <c r="Z185">
        <v>1</v>
      </c>
      <c r="AA185">
        <v>9</v>
      </c>
    </row>
    <row r="186" spans="25:27" x14ac:dyDescent="0.25">
      <c r="Y186" s="5" t="s">
        <v>550</v>
      </c>
      <c r="Z186">
        <v>1</v>
      </c>
      <c r="AA186">
        <v>9</v>
      </c>
    </row>
    <row r="187" spans="25:27" x14ac:dyDescent="0.25">
      <c r="Y187" s="4">
        <v>43161</v>
      </c>
      <c r="Z187">
        <v>1</v>
      </c>
      <c r="AA187">
        <v>16</v>
      </c>
    </row>
    <row r="188" spans="25:27" x14ac:dyDescent="0.25">
      <c r="Y188" s="5" t="s">
        <v>550</v>
      </c>
      <c r="Z188">
        <v>1</v>
      </c>
      <c r="AA188">
        <v>16</v>
      </c>
    </row>
    <row r="189" spans="25:27" x14ac:dyDescent="0.25">
      <c r="Y189" s="4">
        <v>43168</v>
      </c>
      <c r="Z189">
        <v>1</v>
      </c>
      <c r="AA189">
        <v>3</v>
      </c>
    </row>
    <row r="190" spans="25:27" x14ac:dyDescent="0.25">
      <c r="Y190" s="5" t="s">
        <v>553</v>
      </c>
      <c r="Z190">
        <v>1</v>
      </c>
      <c r="AA190">
        <v>3</v>
      </c>
    </row>
    <row r="191" spans="25:27" x14ac:dyDescent="0.25">
      <c r="Y191" s="4">
        <v>43192</v>
      </c>
      <c r="Z191">
        <v>1</v>
      </c>
      <c r="AA191">
        <v>14</v>
      </c>
    </row>
    <row r="192" spans="25:27" x14ac:dyDescent="0.25">
      <c r="Y192" s="5" t="s">
        <v>550</v>
      </c>
      <c r="Z192">
        <v>1</v>
      </c>
      <c r="AA192">
        <v>14</v>
      </c>
    </row>
    <row r="193" spans="25:27" x14ac:dyDescent="0.25">
      <c r="Y193" s="4">
        <v>43202</v>
      </c>
      <c r="Z193">
        <v>1</v>
      </c>
      <c r="AA193">
        <v>16</v>
      </c>
    </row>
    <row r="194" spans="25:27" x14ac:dyDescent="0.25">
      <c r="Y194" s="5" t="s">
        <v>551</v>
      </c>
      <c r="Z194">
        <v>1</v>
      </c>
      <c r="AA194">
        <v>16</v>
      </c>
    </row>
    <row r="195" spans="25:27" x14ac:dyDescent="0.25">
      <c r="Y195" s="4">
        <v>43283</v>
      </c>
      <c r="Z195">
        <v>1</v>
      </c>
      <c r="AA195">
        <v>4</v>
      </c>
    </row>
    <row r="196" spans="25:27" x14ac:dyDescent="0.25">
      <c r="Y196" s="5" t="s">
        <v>550</v>
      </c>
      <c r="Z196">
        <v>1</v>
      </c>
      <c r="AA196">
        <v>4</v>
      </c>
    </row>
    <row r="197" spans="25:27" x14ac:dyDescent="0.25">
      <c r="Y197" s="4">
        <v>43467</v>
      </c>
      <c r="Z197">
        <v>4</v>
      </c>
      <c r="AA197">
        <v>42</v>
      </c>
    </row>
    <row r="198" spans="25:27" x14ac:dyDescent="0.25">
      <c r="Y198" s="5" t="s">
        <v>552</v>
      </c>
      <c r="Z198">
        <v>1</v>
      </c>
      <c r="AA198">
        <v>4</v>
      </c>
    </row>
    <row r="199" spans="25:27" x14ac:dyDescent="0.25">
      <c r="Y199" s="5" t="s">
        <v>553</v>
      </c>
      <c r="Z199">
        <v>2</v>
      </c>
      <c r="AA199">
        <v>24</v>
      </c>
    </row>
    <row r="200" spans="25:27" x14ac:dyDescent="0.25">
      <c r="Y200" s="5" t="s">
        <v>556</v>
      </c>
      <c r="Z200">
        <v>1</v>
      </c>
      <c r="AA200">
        <v>14</v>
      </c>
    </row>
    <row r="201" spans="25:27" x14ac:dyDescent="0.25">
      <c r="Y201" s="4">
        <v>43468</v>
      </c>
      <c r="Z201">
        <v>3</v>
      </c>
      <c r="AA201">
        <v>34</v>
      </c>
    </row>
    <row r="202" spans="25:27" x14ac:dyDescent="0.25">
      <c r="Y202" s="5" t="s">
        <v>562</v>
      </c>
      <c r="Z202">
        <v>1</v>
      </c>
      <c r="AA202">
        <v>15</v>
      </c>
    </row>
    <row r="203" spans="25:27" x14ac:dyDescent="0.25">
      <c r="Y203" s="5" t="s">
        <v>554</v>
      </c>
      <c r="Z203">
        <v>2</v>
      </c>
      <c r="AA203">
        <v>19</v>
      </c>
    </row>
    <row r="204" spans="25:27" x14ac:dyDescent="0.25">
      <c r="Y204" s="4">
        <v>43469</v>
      </c>
      <c r="Z204">
        <v>5</v>
      </c>
      <c r="AA204">
        <v>45</v>
      </c>
    </row>
    <row r="205" spans="25:27" x14ac:dyDescent="0.25">
      <c r="Y205" s="5" t="s">
        <v>560</v>
      </c>
      <c r="Z205">
        <v>1</v>
      </c>
      <c r="AA205">
        <v>6</v>
      </c>
    </row>
    <row r="206" spans="25:27" x14ac:dyDescent="0.25">
      <c r="Y206" s="5" t="s">
        <v>553</v>
      </c>
      <c r="Z206">
        <v>2</v>
      </c>
      <c r="AA206">
        <v>20</v>
      </c>
    </row>
    <row r="207" spans="25:27" x14ac:dyDescent="0.25">
      <c r="Y207" s="5" t="s">
        <v>554</v>
      </c>
      <c r="Z207">
        <v>1</v>
      </c>
      <c r="AA207">
        <v>2</v>
      </c>
    </row>
    <row r="208" spans="25:27" x14ac:dyDescent="0.25">
      <c r="Y208" s="5" t="s">
        <v>556</v>
      </c>
      <c r="Z208">
        <v>1</v>
      </c>
      <c r="AA208">
        <v>17</v>
      </c>
    </row>
    <row r="209" spans="25:27" x14ac:dyDescent="0.25">
      <c r="Y209" s="4">
        <v>43472</v>
      </c>
      <c r="Z209">
        <v>7</v>
      </c>
      <c r="AA209">
        <v>69</v>
      </c>
    </row>
    <row r="210" spans="25:27" x14ac:dyDescent="0.25">
      <c r="Y210" s="5" t="s">
        <v>550</v>
      </c>
      <c r="Z210">
        <v>1</v>
      </c>
      <c r="AA210">
        <v>15</v>
      </c>
    </row>
    <row r="211" spans="25:27" x14ac:dyDescent="0.25">
      <c r="Y211" s="5" t="s">
        <v>551</v>
      </c>
      <c r="Z211">
        <v>2</v>
      </c>
      <c r="AA211">
        <v>19</v>
      </c>
    </row>
    <row r="212" spans="25:27" x14ac:dyDescent="0.25">
      <c r="Y212" s="5" t="s">
        <v>553</v>
      </c>
      <c r="Z212">
        <v>4</v>
      </c>
      <c r="AA212">
        <v>35</v>
      </c>
    </row>
    <row r="213" spans="25:27" x14ac:dyDescent="0.25">
      <c r="Y213" s="4">
        <v>43473</v>
      </c>
      <c r="Z213">
        <v>3</v>
      </c>
      <c r="AA213">
        <v>36</v>
      </c>
    </row>
    <row r="214" spans="25:27" x14ac:dyDescent="0.25">
      <c r="Y214" s="5" t="s">
        <v>550</v>
      </c>
      <c r="Z214">
        <v>1</v>
      </c>
      <c r="AA214">
        <v>14</v>
      </c>
    </row>
    <row r="215" spans="25:27" x14ac:dyDescent="0.25">
      <c r="Y215" s="5" t="s">
        <v>552</v>
      </c>
      <c r="Z215">
        <v>1</v>
      </c>
      <c r="AA215">
        <v>20</v>
      </c>
    </row>
    <row r="216" spans="25:27" x14ac:dyDescent="0.25">
      <c r="Y216" s="5" t="s">
        <v>555</v>
      </c>
      <c r="Z216">
        <v>1</v>
      </c>
      <c r="AA216">
        <v>2</v>
      </c>
    </row>
    <row r="217" spans="25:27" x14ac:dyDescent="0.25">
      <c r="Y217" s="4">
        <v>43475</v>
      </c>
      <c r="Z217">
        <v>4</v>
      </c>
      <c r="AA217">
        <v>43</v>
      </c>
    </row>
    <row r="218" spans="25:27" x14ac:dyDescent="0.25">
      <c r="Y218" s="5" t="s">
        <v>549</v>
      </c>
      <c r="Z218">
        <v>1</v>
      </c>
      <c r="AA218">
        <v>13</v>
      </c>
    </row>
    <row r="219" spans="25:27" x14ac:dyDescent="0.25">
      <c r="Y219" s="5" t="s">
        <v>550</v>
      </c>
      <c r="Z219">
        <v>1</v>
      </c>
      <c r="AA219">
        <v>8</v>
      </c>
    </row>
    <row r="220" spans="25:27" x14ac:dyDescent="0.25">
      <c r="Y220" s="5" t="s">
        <v>552</v>
      </c>
      <c r="Z220">
        <v>1</v>
      </c>
      <c r="AA220">
        <v>2</v>
      </c>
    </row>
    <row r="221" spans="25:27" x14ac:dyDescent="0.25">
      <c r="Y221" s="5" t="s">
        <v>554</v>
      </c>
      <c r="Z221">
        <v>1</v>
      </c>
      <c r="AA221">
        <v>20</v>
      </c>
    </row>
    <row r="222" spans="25:27" x14ac:dyDescent="0.25">
      <c r="Y222" s="4">
        <v>43476</v>
      </c>
      <c r="Z222">
        <v>4</v>
      </c>
      <c r="AA222">
        <v>21</v>
      </c>
    </row>
    <row r="223" spans="25:27" x14ac:dyDescent="0.25">
      <c r="Y223" s="5" t="s">
        <v>552</v>
      </c>
      <c r="Z223">
        <v>1</v>
      </c>
      <c r="AA223">
        <v>13</v>
      </c>
    </row>
    <row r="224" spans="25:27" x14ac:dyDescent="0.25">
      <c r="Y224" s="5" t="s">
        <v>553</v>
      </c>
      <c r="Z224">
        <v>3</v>
      </c>
      <c r="AA224">
        <v>8</v>
      </c>
    </row>
    <row r="225" spans="25:27" x14ac:dyDescent="0.25">
      <c r="Y225" s="4">
        <v>43479</v>
      </c>
      <c r="Z225">
        <v>18</v>
      </c>
      <c r="AA225">
        <v>172</v>
      </c>
    </row>
    <row r="226" spans="25:27" x14ac:dyDescent="0.25">
      <c r="Y226" s="5" t="s">
        <v>549</v>
      </c>
      <c r="Z226">
        <v>1</v>
      </c>
      <c r="AA226">
        <v>3</v>
      </c>
    </row>
    <row r="227" spans="25:27" x14ac:dyDescent="0.25">
      <c r="Y227" s="5" t="s">
        <v>550</v>
      </c>
      <c r="Z227">
        <v>2</v>
      </c>
      <c r="AA227">
        <v>27</v>
      </c>
    </row>
    <row r="228" spans="25:27" x14ac:dyDescent="0.25">
      <c r="Y228" s="5" t="s">
        <v>551</v>
      </c>
      <c r="Z228">
        <v>4</v>
      </c>
      <c r="AA228">
        <v>31</v>
      </c>
    </row>
    <row r="229" spans="25:27" x14ac:dyDescent="0.25">
      <c r="Y229" s="5" t="s">
        <v>552</v>
      </c>
      <c r="Z229">
        <v>6</v>
      </c>
      <c r="AA229">
        <v>40</v>
      </c>
    </row>
    <row r="230" spans="25:27" x14ac:dyDescent="0.25">
      <c r="Y230" s="5" t="s">
        <v>554</v>
      </c>
      <c r="Z230">
        <v>3</v>
      </c>
      <c r="AA230">
        <v>42</v>
      </c>
    </row>
    <row r="231" spans="25:27" x14ac:dyDescent="0.25">
      <c r="Y231" s="5" t="s">
        <v>555</v>
      </c>
      <c r="Z231">
        <v>2</v>
      </c>
      <c r="AA231">
        <v>29</v>
      </c>
    </row>
    <row r="232" spans="25:27" x14ac:dyDescent="0.25">
      <c r="Y232" s="4">
        <v>43480</v>
      </c>
      <c r="Z232">
        <v>4</v>
      </c>
      <c r="AA232">
        <v>28</v>
      </c>
    </row>
    <row r="233" spans="25:27" x14ac:dyDescent="0.25">
      <c r="Y233" s="5" t="s">
        <v>562</v>
      </c>
      <c r="Z233">
        <v>1</v>
      </c>
      <c r="AA233">
        <v>14</v>
      </c>
    </row>
    <row r="234" spans="25:27" x14ac:dyDescent="0.25">
      <c r="Y234" s="5" t="s">
        <v>553</v>
      </c>
      <c r="Z234">
        <v>1</v>
      </c>
      <c r="AA234">
        <v>4</v>
      </c>
    </row>
    <row r="235" spans="25:27" x14ac:dyDescent="0.25">
      <c r="Y235" s="5" t="s">
        <v>554</v>
      </c>
      <c r="Z235">
        <v>1</v>
      </c>
      <c r="AA235">
        <v>2</v>
      </c>
    </row>
    <row r="236" spans="25:27" x14ac:dyDescent="0.25">
      <c r="Y236" s="5" t="s">
        <v>555</v>
      </c>
      <c r="Z236">
        <v>1</v>
      </c>
      <c r="AA236">
        <v>8</v>
      </c>
    </row>
    <row r="237" spans="25:27" x14ac:dyDescent="0.25">
      <c r="Y237" s="4">
        <v>43481</v>
      </c>
      <c r="Z237">
        <v>3</v>
      </c>
      <c r="AA237">
        <v>40</v>
      </c>
    </row>
    <row r="238" spans="25:27" x14ac:dyDescent="0.25">
      <c r="Y238" s="5" t="s">
        <v>553</v>
      </c>
      <c r="Z238">
        <v>2</v>
      </c>
      <c r="AA238">
        <v>21</v>
      </c>
    </row>
    <row r="239" spans="25:27" x14ac:dyDescent="0.25">
      <c r="Y239" s="5" t="s">
        <v>554</v>
      </c>
      <c r="Z239">
        <v>1</v>
      </c>
      <c r="AA239">
        <v>19</v>
      </c>
    </row>
    <row r="240" spans="25:27" x14ac:dyDescent="0.25">
      <c r="Y240" s="4">
        <v>43482</v>
      </c>
      <c r="Z240">
        <v>8</v>
      </c>
      <c r="AA240">
        <v>80</v>
      </c>
    </row>
    <row r="241" spans="25:27" x14ac:dyDescent="0.25">
      <c r="Y241" s="5" t="s">
        <v>550</v>
      </c>
      <c r="Z241">
        <v>3</v>
      </c>
      <c r="AA241">
        <v>37</v>
      </c>
    </row>
    <row r="242" spans="25:27" x14ac:dyDescent="0.25">
      <c r="Y242" s="5" t="s">
        <v>551</v>
      </c>
      <c r="Z242">
        <v>2</v>
      </c>
      <c r="AA242">
        <v>17</v>
      </c>
    </row>
    <row r="243" spans="25:27" x14ac:dyDescent="0.25">
      <c r="Y243" s="5" t="s">
        <v>552</v>
      </c>
      <c r="Z243">
        <v>1</v>
      </c>
      <c r="AA243">
        <v>18</v>
      </c>
    </row>
    <row r="244" spans="25:27" x14ac:dyDescent="0.25">
      <c r="Y244" s="5" t="s">
        <v>553</v>
      </c>
      <c r="Z244">
        <v>2</v>
      </c>
      <c r="AA244">
        <v>8</v>
      </c>
    </row>
    <row r="245" spans="25:27" x14ac:dyDescent="0.25">
      <c r="Y245" s="4">
        <v>43483</v>
      </c>
      <c r="Z245">
        <v>4</v>
      </c>
      <c r="AA245">
        <v>30</v>
      </c>
    </row>
    <row r="246" spans="25:27" x14ac:dyDescent="0.25">
      <c r="Y246" s="5" t="s">
        <v>551</v>
      </c>
      <c r="Z246">
        <v>1</v>
      </c>
      <c r="AA246">
        <v>11</v>
      </c>
    </row>
    <row r="247" spans="25:27" x14ac:dyDescent="0.25">
      <c r="Y247" s="5" t="s">
        <v>552</v>
      </c>
      <c r="Z247">
        <v>1</v>
      </c>
      <c r="AA247">
        <v>6</v>
      </c>
    </row>
    <row r="248" spans="25:27" x14ac:dyDescent="0.25">
      <c r="Y248" s="5" t="s">
        <v>553</v>
      </c>
      <c r="Z248">
        <v>1</v>
      </c>
      <c r="AA248">
        <v>9</v>
      </c>
    </row>
    <row r="249" spans="25:27" x14ac:dyDescent="0.25">
      <c r="Y249" s="5" t="s">
        <v>555</v>
      </c>
      <c r="Z249">
        <v>1</v>
      </c>
      <c r="AA249">
        <v>4</v>
      </c>
    </row>
    <row r="250" spans="25:27" x14ac:dyDescent="0.25">
      <c r="Y250" s="4">
        <v>43484</v>
      </c>
      <c r="Z250">
        <v>1</v>
      </c>
      <c r="AA250">
        <v>17</v>
      </c>
    </row>
    <row r="251" spans="25:27" x14ac:dyDescent="0.25">
      <c r="Y251" s="5" t="s">
        <v>551</v>
      </c>
      <c r="Z251">
        <v>1</v>
      </c>
      <c r="AA251">
        <v>17</v>
      </c>
    </row>
    <row r="252" spans="25:27" x14ac:dyDescent="0.25">
      <c r="Y252" s="4">
        <v>43486</v>
      </c>
      <c r="Z252">
        <v>10</v>
      </c>
      <c r="AA252">
        <v>104</v>
      </c>
    </row>
    <row r="253" spans="25:27" x14ac:dyDescent="0.25">
      <c r="Y253" s="5" t="s">
        <v>549</v>
      </c>
      <c r="Z253">
        <v>1</v>
      </c>
      <c r="AA253">
        <v>6</v>
      </c>
    </row>
    <row r="254" spans="25:27" x14ac:dyDescent="0.25">
      <c r="Y254" s="5" t="s">
        <v>550</v>
      </c>
      <c r="Z254">
        <v>2</v>
      </c>
      <c r="AA254">
        <v>21</v>
      </c>
    </row>
    <row r="255" spans="25:27" x14ac:dyDescent="0.25">
      <c r="Y255" s="5" t="s">
        <v>552</v>
      </c>
      <c r="Z255">
        <v>2</v>
      </c>
      <c r="AA255">
        <v>28</v>
      </c>
    </row>
    <row r="256" spans="25:27" x14ac:dyDescent="0.25">
      <c r="Y256" s="5" t="s">
        <v>553</v>
      </c>
      <c r="Z256">
        <v>3</v>
      </c>
      <c r="AA256">
        <v>35</v>
      </c>
    </row>
    <row r="257" spans="25:27" x14ac:dyDescent="0.25">
      <c r="Y257" s="5" t="s">
        <v>554</v>
      </c>
      <c r="Z257">
        <v>1</v>
      </c>
      <c r="AA257">
        <v>10</v>
      </c>
    </row>
    <row r="258" spans="25:27" x14ac:dyDescent="0.25">
      <c r="Y258" s="5" t="s">
        <v>555</v>
      </c>
      <c r="Z258">
        <v>1</v>
      </c>
      <c r="AA258">
        <v>4</v>
      </c>
    </row>
    <row r="259" spans="25:27" x14ac:dyDescent="0.25">
      <c r="Y259" s="4">
        <v>43487</v>
      </c>
      <c r="Z259">
        <v>4</v>
      </c>
      <c r="AA259">
        <v>39</v>
      </c>
    </row>
    <row r="260" spans="25:27" x14ac:dyDescent="0.25">
      <c r="Y260" s="5" t="s">
        <v>552</v>
      </c>
      <c r="Z260">
        <v>3</v>
      </c>
      <c r="AA260">
        <v>37</v>
      </c>
    </row>
    <row r="261" spans="25:27" x14ac:dyDescent="0.25">
      <c r="Y261" s="5" t="s">
        <v>554</v>
      </c>
      <c r="Z261">
        <v>1</v>
      </c>
      <c r="AA261">
        <v>2</v>
      </c>
    </row>
    <row r="262" spans="25:27" x14ac:dyDescent="0.25">
      <c r="Y262" s="4">
        <v>43488</v>
      </c>
      <c r="Z262">
        <v>3</v>
      </c>
      <c r="AA262">
        <v>31</v>
      </c>
    </row>
    <row r="263" spans="25:27" x14ac:dyDescent="0.25">
      <c r="Y263" s="5" t="s">
        <v>552</v>
      </c>
      <c r="Z263">
        <v>1</v>
      </c>
      <c r="AA263">
        <v>10</v>
      </c>
    </row>
    <row r="264" spans="25:27" x14ac:dyDescent="0.25">
      <c r="Y264" s="5" t="s">
        <v>554</v>
      </c>
      <c r="Z264">
        <v>1</v>
      </c>
      <c r="AA264">
        <v>6</v>
      </c>
    </row>
    <row r="265" spans="25:27" x14ac:dyDescent="0.25">
      <c r="Y265" s="5" t="s">
        <v>556</v>
      </c>
      <c r="Z265">
        <v>1</v>
      </c>
      <c r="AA265">
        <v>15</v>
      </c>
    </row>
    <row r="266" spans="25:27" x14ac:dyDescent="0.25">
      <c r="Y266" s="4">
        <v>43489</v>
      </c>
      <c r="Z266">
        <v>4</v>
      </c>
      <c r="AA266">
        <v>46</v>
      </c>
    </row>
    <row r="267" spans="25:27" x14ac:dyDescent="0.25">
      <c r="Y267" s="5" t="s">
        <v>563</v>
      </c>
      <c r="Z267">
        <v>1</v>
      </c>
      <c r="AA267">
        <v>12</v>
      </c>
    </row>
    <row r="268" spans="25:27" x14ac:dyDescent="0.25">
      <c r="Y268" s="5" t="s">
        <v>552</v>
      </c>
      <c r="Z268">
        <v>1</v>
      </c>
      <c r="AA268">
        <v>16</v>
      </c>
    </row>
    <row r="269" spans="25:27" x14ac:dyDescent="0.25">
      <c r="Y269" s="5" t="s">
        <v>553</v>
      </c>
      <c r="Z269">
        <v>1</v>
      </c>
      <c r="AA269">
        <v>8</v>
      </c>
    </row>
    <row r="270" spans="25:27" x14ac:dyDescent="0.25">
      <c r="Y270" s="5" t="s">
        <v>554</v>
      </c>
      <c r="Z270">
        <v>1</v>
      </c>
      <c r="AA270">
        <v>10</v>
      </c>
    </row>
    <row r="271" spans="25:27" x14ac:dyDescent="0.25">
      <c r="Y271" s="4">
        <v>43490</v>
      </c>
      <c r="Z271">
        <v>6</v>
      </c>
      <c r="AA271">
        <v>49</v>
      </c>
    </row>
    <row r="272" spans="25:27" x14ac:dyDescent="0.25">
      <c r="Y272" s="5" t="s">
        <v>563</v>
      </c>
      <c r="Z272">
        <v>1</v>
      </c>
      <c r="AA272">
        <v>4</v>
      </c>
    </row>
    <row r="273" spans="25:27" x14ac:dyDescent="0.25">
      <c r="Y273" s="5" t="s">
        <v>550</v>
      </c>
      <c r="Z273">
        <v>1</v>
      </c>
      <c r="AA273">
        <v>14</v>
      </c>
    </row>
    <row r="274" spans="25:27" x14ac:dyDescent="0.25">
      <c r="Y274" s="5" t="s">
        <v>551</v>
      </c>
      <c r="Z274">
        <v>1</v>
      </c>
      <c r="AA274">
        <v>8</v>
      </c>
    </row>
    <row r="275" spans="25:27" x14ac:dyDescent="0.25">
      <c r="Y275" s="5" t="s">
        <v>552</v>
      </c>
      <c r="Z275">
        <v>2</v>
      </c>
      <c r="AA275">
        <v>3</v>
      </c>
    </row>
    <row r="276" spans="25:27" x14ac:dyDescent="0.25">
      <c r="Y276" s="5" t="s">
        <v>554</v>
      </c>
      <c r="Z276">
        <v>1</v>
      </c>
      <c r="AA276">
        <v>20</v>
      </c>
    </row>
    <row r="277" spans="25:27" x14ac:dyDescent="0.25">
      <c r="Y277" s="4">
        <v>43492</v>
      </c>
      <c r="Z277">
        <v>2</v>
      </c>
      <c r="AA277">
        <v>21</v>
      </c>
    </row>
    <row r="278" spans="25:27" x14ac:dyDescent="0.25">
      <c r="Y278" s="5" t="s">
        <v>550</v>
      </c>
      <c r="Z278">
        <v>2</v>
      </c>
      <c r="AA278">
        <v>21</v>
      </c>
    </row>
    <row r="279" spans="25:27" x14ac:dyDescent="0.25">
      <c r="Y279" s="4">
        <v>43493</v>
      </c>
      <c r="Z279">
        <v>9</v>
      </c>
      <c r="AA279">
        <v>98</v>
      </c>
    </row>
    <row r="280" spans="25:27" x14ac:dyDescent="0.25">
      <c r="Y280" s="5" t="s">
        <v>552</v>
      </c>
      <c r="Z280">
        <v>1</v>
      </c>
      <c r="AA280">
        <v>11</v>
      </c>
    </row>
    <row r="281" spans="25:27" x14ac:dyDescent="0.25">
      <c r="Y281" s="5" t="s">
        <v>553</v>
      </c>
      <c r="Z281">
        <v>4</v>
      </c>
      <c r="AA281">
        <v>33</v>
      </c>
    </row>
    <row r="282" spans="25:27" x14ac:dyDescent="0.25">
      <c r="Y282" s="5" t="s">
        <v>554</v>
      </c>
      <c r="Z282">
        <v>1</v>
      </c>
      <c r="AA282">
        <v>11</v>
      </c>
    </row>
    <row r="283" spans="25:27" x14ac:dyDescent="0.25">
      <c r="Y283" s="5" t="s">
        <v>555</v>
      </c>
      <c r="Z283">
        <v>2</v>
      </c>
      <c r="AA283">
        <v>35</v>
      </c>
    </row>
    <row r="284" spans="25:27" x14ac:dyDescent="0.25">
      <c r="Y284" s="5" t="s">
        <v>556</v>
      </c>
      <c r="Z284">
        <v>1</v>
      </c>
      <c r="AA284">
        <v>8</v>
      </c>
    </row>
    <row r="285" spans="25:27" x14ac:dyDescent="0.25">
      <c r="Y285" s="4">
        <v>43494</v>
      </c>
      <c r="Z285">
        <v>5</v>
      </c>
      <c r="AA285">
        <v>66</v>
      </c>
    </row>
    <row r="286" spans="25:27" x14ac:dyDescent="0.25">
      <c r="Y286" s="5" t="s">
        <v>551</v>
      </c>
      <c r="Z286">
        <v>3</v>
      </c>
      <c r="AA286">
        <v>52</v>
      </c>
    </row>
    <row r="287" spans="25:27" x14ac:dyDescent="0.25">
      <c r="Y287" s="5" t="s">
        <v>554</v>
      </c>
      <c r="Z287">
        <v>1</v>
      </c>
      <c r="AA287">
        <v>7</v>
      </c>
    </row>
    <row r="288" spans="25:27" x14ac:dyDescent="0.25">
      <c r="Y288" s="5" t="s">
        <v>555</v>
      </c>
      <c r="Z288">
        <v>1</v>
      </c>
      <c r="AA288">
        <v>7</v>
      </c>
    </row>
    <row r="289" spans="25:27" x14ac:dyDescent="0.25">
      <c r="Y289" s="4">
        <v>43495</v>
      </c>
      <c r="Z289">
        <v>6</v>
      </c>
      <c r="AA289">
        <v>42</v>
      </c>
    </row>
    <row r="290" spans="25:27" x14ac:dyDescent="0.25">
      <c r="Y290" s="5" t="s">
        <v>550</v>
      </c>
      <c r="Z290">
        <v>1</v>
      </c>
      <c r="AA290">
        <v>3</v>
      </c>
    </row>
    <row r="291" spans="25:27" x14ac:dyDescent="0.25">
      <c r="Y291" s="5" t="s">
        <v>552</v>
      </c>
      <c r="Z291">
        <v>2</v>
      </c>
      <c r="AA291">
        <v>23</v>
      </c>
    </row>
    <row r="292" spans="25:27" x14ac:dyDescent="0.25">
      <c r="Y292" s="5" t="s">
        <v>553</v>
      </c>
      <c r="Z292">
        <v>3</v>
      </c>
      <c r="AA292">
        <v>16</v>
      </c>
    </row>
    <row r="293" spans="25:27" x14ac:dyDescent="0.25">
      <c r="Y293" s="4">
        <v>43496</v>
      </c>
      <c r="Z293">
        <v>6</v>
      </c>
      <c r="AA293">
        <v>62</v>
      </c>
    </row>
    <row r="294" spans="25:27" x14ac:dyDescent="0.25">
      <c r="Y294" s="5" t="s">
        <v>549</v>
      </c>
      <c r="Z294">
        <v>1</v>
      </c>
      <c r="AA294">
        <v>18</v>
      </c>
    </row>
    <row r="295" spans="25:27" x14ac:dyDescent="0.25">
      <c r="Y295" s="5" t="s">
        <v>551</v>
      </c>
      <c r="Z295">
        <v>2</v>
      </c>
      <c r="AA295">
        <v>25</v>
      </c>
    </row>
    <row r="296" spans="25:27" x14ac:dyDescent="0.25">
      <c r="Y296" s="5" t="s">
        <v>553</v>
      </c>
      <c r="Z296">
        <v>2</v>
      </c>
      <c r="AA296">
        <v>17</v>
      </c>
    </row>
    <row r="297" spans="25:27" x14ac:dyDescent="0.25">
      <c r="Y297" s="5" t="s">
        <v>557</v>
      </c>
      <c r="Z297">
        <v>1</v>
      </c>
      <c r="AA297">
        <v>2</v>
      </c>
    </row>
    <row r="298" spans="25:27" x14ac:dyDescent="0.25">
      <c r="Y298" s="4">
        <v>43497</v>
      </c>
      <c r="Z298">
        <v>5</v>
      </c>
      <c r="AA298">
        <v>44</v>
      </c>
    </row>
    <row r="299" spans="25:27" x14ac:dyDescent="0.25">
      <c r="Y299" s="5" t="s">
        <v>549</v>
      </c>
      <c r="Z299">
        <v>1</v>
      </c>
      <c r="AA299">
        <v>1</v>
      </c>
    </row>
    <row r="300" spans="25:27" x14ac:dyDescent="0.25">
      <c r="Y300" s="5" t="s">
        <v>551</v>
      </c>
      <c r="Z300">
        <v>1</v>
      </c>
      <c r="AA300">
        <v>9</v>
      </c>
    </row>
    <row r="301" spans="25:27" x14ac:dyDescent="0.25">
      <c r="Y301" s="5" t="s">
        <v>553</v>
      </c>
      <c r="Z301">
        <v>2</v>
      </c>
      <c r="AA301">
        <v>23</v>
      </c>
    </row>
    <row r="302" spans="25:27" x14ac:dyDescent="0.25">
      <c r="Y302" s="5" t="s">
        <v>554</v>
      </c>
      <c r="Z302">
        <v>1</v>
      </c>
      <c r="AA302">
        <v>11</v>
      </c>
    </row>
    <row r="303" spans="25:27" x14ac:dyDescent="0.25">
      <c r="Y303" s="4">
        <v>43500</v>
      </c>
      <c r="Z303">
        <v>4</v>
      </c>
      <c r="AA303">
        <v>36</v>
      </c>
    </row>
    <row r="304" spans="25:27" x14ac:dyDescent="0.25">
      <c r="Y304" s="5" t="s">
        <v>563</v>
      </c>
      <c r="Z304">
        <v>1</v>
      </c>
      <c r="AA304">
        <v>15</v>
      </c>
    </row>
    <row r="305" spans="25:27" x14ac:dyDescent="0.25">
      <c r="Y305" s="5" t="s">
        <v>551</v>
      </c>
      <c r="Z305">
        <v>1</v>
      </c>
      <c r="AA305">
        <v>13</v>
      </c>
    </row>
    <row r="306" spans="25:27" x14ac:dyDescent="0.25">
      <c r="Y306" s="5" t="s">
        <v>553</v>
      </c>
      <c r="Z306">
        <v>1</v>
      </c>
      <c r="AA306">
        <v>6</v>
      </c>
    </row>
    <row r="307" spans="25:27" x14ac:dyDescent="0.25">
      <c r="Y307" s="5" t="s">
        <v>554</v>
      </c>
      <c r="Z307">
        <v>1</v>
      </c>
      <c r="AA307">
        <v>2</v>
      </c>
    </row>
    <row r="308" spans="25:27" x14ac:dyDescent="0.25">
      <c r="Y308" s="4">
        <v>43501</v>
      </c>
      <c r="Z308">
        <v>1</v>
      </c>
      <c r="AA308">
        <v>7</v>
      </c>
    </row>
    <row r="309" spans="25:27" x14ac:dyDescent="0.25">
      <c r="Y309" s="5" t="s">
        <v>554</v>
      </c>
      <c r="Z309">
        <v>1</v>
      </c>
      <c r="AA309">
        <v>7</v>
      </c>
    </row>
    <row r="310" spans="25:27" x14ac:dyDescent="0.25">
      <c r="Y310" s="4">
        <v>43502</v>
      </c>
      <c r="Z310">
        <v>4</v>
      </c>
      <c r="AA310">
        <v>44</v>
      </c>
    </row>
    <row r="311" spans="25:27" x14ac:dyDescent="0.25">
      <c r="Y311" s="5" t="s">
        <v>552</v>
      </c>
      <c r="Z311">
        <v>1</v>
      </c>
      <c r="AA311">
        <v>14</v>
      </c>
    </row>
    <row r="312" spans="25:27" x14ac:dyDescent="0.25">
      <c r="Y312" s="5" t="s">
        <v>553</v>
      </c>
      <c r="Z312">
        <v>1</v>
      </c>
      <c r="AA312">
        <v>3</v>
      </c>
    </row>
    <row r="313" spans="25:27" x14ac:dyDescent="0.25">
      <c r="Y313" s="5" t="s">
        <v>555</v>
      </c>
      <c r="Z313">
        <v>1</v>
      </c>
      <c r="AA313">
        <v>10</v>
      </c>
    </row>
    <row r="314" spans="25:27" x14ac:dyDescent="0.25">
      <c r="Y314" s="5" t="s">
        <v>556</v>
      </c>
      <c r="Z314">
        <v>1</v>
      </c>
      <c r="AA314">
        <v>17</v>
      </c>
    </row>
    <row r="315" spans="25:27" x14ac:dyDescent="0.25">
      <c r="Y315" s="4">
        <v>43503</v>
      </c>
      <c r="Z315">
        <v>5</v>
      </c>
      <c r="AA315">
        <v>61</v>
      </c>
    </row>
    <row r="316" spans="25:27" x14ac:dyDescent="0.25">
      <c r="Y316" s="5" t="s">
        <v>550</v>
      </c>
      <c r="Z316">
        <v>1</v>
      </c>
      <c r="AA316">
        <v>9</v>
      </c>
    </row>
    <row r="317" spans="25:27" x14ac:dyDescent="0.25">
      <c r="Y317" s="5" t="s">
        <v>552</v>
      </c>
      <c r="Z317">
        <v>1</v>
      </c>
      <c r="AA317">
        <v>13</v>
      </c>
    </row>
    <row r="318" spans="25:27" x14ac:dyDescent="0.25">
      <c r="Y318" s="5" t="s">
        <v>553</v>
      </c>
      <c r="Z318">
        <v>2</v>
      </c>
      <c r="AA318">
        <v>23</v>
      </c>
    </row>
    <row r="319" spans="25:27" x14ac:dyDescent="0.25">
      <c r="Y319" s="5" t="s">
        <v>554</v>
      </c>
      <c r="Z319">
        <v>1</v>
      </c>
      <c r="AA319">
        <v>16</v>
      </c>
    </row>
    <row r="320" spans="25:27" x14ac:dyDescent="0.25">
      <c r="Y320" s="4">
        <v>43504</v>
      </c>
      <c r="Z320">
        <v>2</v>
      </c>
      <c r="AA320">
        <v>22</v>
      </c>
    </row>
    <row r="321" spans="25:27" x14ac:dyDescent="0.25">
      <c r="Y321" s="5" t="s">
        <v>563</v>
      </c>
      <c r="Z321">
        <v>1</v>
      </c>
      <c r="AA321">
        <v>3</v>
      </c>
    </row>
    <row r="322" spans="25:27" x14ac:dyDescent="0.25">
      <c r="Y322" s="5" t="s">
        <v>550</v>
      </c>
      <c r="Z322">
        <v>1</v>
      </c>
      <c r="AA322">
        <v>19</v>
      </c>
    </row>
    <row r="323" spans="25:27" x14ac:dyDescent="0.25">
      <c r="Y323" s="4">
        <v>43507</v>
      </c>
      <c r="Z323">
        <v>6</v>
      </c>
      <c r="AA323">
        <v>47</v>
      </c>
    </row>
    <row r="324" spans="25:27" x14ac:dyDescent="0.25">
      <c r="Y324" s="5" t="s">
        <v>550</v>
      </c>
      <c r="Z324">
        <v>1</v>
      </c>
      <c r="AA324">
        <v>16</v>
      </c>
    </row>
    <row r="325" spans="25:27" x14ac:dyDescent="0.25">
      <c r="Y325" s="5" t="s">
        <v>551</v>
      </c>
      <c r="Z325">
        <v>1</v>
      </c>
      <c r="AA325">
        <v>1</v>
      </c>
    </row>
    <row r="326" spans="25:27" x14ac:dyDescent="0.25">
      <c r="Y326" s="5" t="s">
        <v>552</v>
      </c>
      <c r="Z326">
        <v>1</v>
      </c>
      <c r="AA326">
        <v>4</v>
      </c>
    </row>
    <row r="327" spans="25:27" x14ac:dyDescent="0.25">
      <c r="Y327" s="5" t="s">
        <v>553</v>
      </c>
      <c r="Z327">
        <v>1</v>
      </c>
      <c r="AA327">
        <v>18</v>
      </c>
    </row>
    <row r="328" spans="25:27" x14ac:dyDescent="0.25">
      <c r="Y328" s="5" t="s">
        <v>554</v>
      </c>
      <c r="Z328">
        <v>2</v>
      </c>
      <c r="AA328">
        <v>8</v>
      </c>
    </row>
    <row r="329" spans="25:27" x14ac:dyDescent="0.25">
      <c r="Y329" s="4">
        <v>43508</v>
      </c>
      <c r="Z329">
        <v>4</v>
      </c>
      <c r="AA329">
        <v>53</v>
      </c>
    </row>
    <row r="330" spans="25:27" x14ac:dyDescent="0.25">
      <c r="Y330" s="5" t="s">
        <v>552</v>
      </c>
      <c r="Z330">
        <v>1</v>
      </c>
      <c r="AA330">
        <v>19</v>
      </c>
    </row>
    <row r="331" spans="25:27" x14ac:dyDescent="0.25">
      <c r="Y331" s="5" t="s">
        <v>553</v>
      </c>
      <c r="Z331">
        <v>3</v>
      </c>
      <c r="AA331">
        <v>34</v>
      </c>
    </row>
    <row r="332" spans="25:27" x14ac:dyDescent="0.25">
      <c r="Y332" s="4">
        <v>43509</v>
      </c>
      <c r="Z332">
        <v>3</v>
      </c>
      <c r="AA332">
        <v>22</v>
      </c>
    </row>
    <row r="333" spans="25:27" x14ac:dyDescent="0.25">
      <c r="Y333" s="5" t="s">
        <v>551</v>
      </c>
      <c r="Z333">
        <v>1</v>
      </c>
      <c r="AA333">
        <v>2</v>
      </c>
    </row>
    <row r="334" spans="25:27" x14ac:dyDescent="0.25">
      <c r="Y334" s="5" t="s">
        <v>552</v>
      </c>
      <c r="Z334">
        <v>1</v>
      </c>
      <c r="AA334">
        <v>12</v>
      </c>
    </row>
    <row r="335" spans="25:27" x14ac:dyDescent="0.25">
      <c r="Y335" s="5" t="s">
        <v>553</v>
      </c>
      <c r="Z335">
        <v>1</v>
      </c>
      <c r="AA335">
        <v>8</v>
      </c>
    </row>
    <row r="336" spans="25:27" x14ac:dyDescent="0.25">
      <c r="Y336" s="4">
        <v>43510</v>
      </c>
      <c r="Z336">
        <v>5</v>
      </c>
      <c r="AA336">
        <v>49</v>
      </c>
    </row>
    <row r="337" spans="25:27" x14ac:dyDescent="0.25">
      <c r="Y337" s="5" t="s">
        <v>551</v>
      </c>
      <c r="Z337">
        <v>2</v>
      </c>
      <c r="AA337">
        <v>22</v>
      </c>
    </row>
    <row r="338" spans="25:27" x14ac:dyDescent="0.25">
      <c r="Y338" s="5" t="s">
        <v>554</v>
      </c>
      <c r="Z338">
        <v>3</v>
      </c>
      <c r="AA338">
        <v>27</v>
      </c>
    </row>
    <row r="339" spans="25:27" x14ac:dyDescent="0.25">
      <c r="Y339" s="4">
        <v>43511</v>
      </c>
      <c r="Z339">
        <v>3</v>
      </c>
      <c r="AA339">
        <v>23</v>
      </c>
    </row>
    <row r="340" spans="25:27" x14ac:dyDescent="0.25">
      <c r="Y340" s="5" t="s">
        <v>552</v>
      </c>
      <c r="Z340">
        <v>2</v>
      </c>
      <c r="AA340">
        <v>18</v>
      </c>
    </row>
    <row r="341" spans="25:27" x14ac:dyDescent="0.25">
      <c r="Y341" s="5" t="s">
        <v>553</v>
      </c>
      <c r="Z341">
        <v>1</v>
      </c>
      <c r="AA341">
        <v>5</v>
      </c>
    </row>
    <row r="342" spans="25:27" x14ac:dyDescent="0.25">
      <c r="Y342" s="4">
        <v>43514</v>
      </c>
      <c r="Z342">
        <v>12</v>
      </c>
      <c r="AA342">
        <v>78</v>
      </c>
    </row>
    <row r="343" spans="25:27" x14ac:dyDescent="0.25">
      <c r="Y343" s="5" t="s">
        <v>550</v>
      </c>
      <c r="Z343">
        <v>1</v>
      </c>
      <c r="AA343">
        <v>1</v>
      </c>
    </row>
    <row r="344" spans="25:27" x14ac:dyDescent="0.25">
      <c r="Y344" s="5" t="s">
        <v>552</v>
      </c>
      <c r="Z344">
        <v>3</v>
      </c>
      <c r="AA344">
        <v>27</v>
      </c>
    </row>
    <row r="345" spans="25:27" x14ac:dyDescent="0.25">
      <c r="Y345" s="5" t="s">
        <v>553</v>
      </c>
      <c r="Z345">
        <v>3</v>
      </c>
      <c r="AA345">
        <v>14</v>
      </c>
    </row>
    <row r="346" spans="25:27" x14ac:dyDescent="0.25">
      <c r="Y346" s="5" t="s">
        <v>554</v>
      </c>
      <c r="Z346">
        <v>3</v>
      </c>
      <c r="AA346">
        <v>25</v>
      </c>
    </row>
    <row r="347" spans="25:27" x14ac:dyDescent="0.25">
      <c r="Y347" s="5" t="s">
        <v>555</v>
      </c>
      <c r="Z347">
        <v>2</v>
      </c>
      <c r="AA347">
        <v>11</v>
      </c>
    </row>
    <row r="348" spans="25:27" x14ac:dyDescent="0.25">
      <c r="Y348" s="4">
        <v>43515</v>
      </c>
      <c r="Z348">
        <v>3</v>
      </c>
      <c r="AA348">
        <v>27</v>
      </c>
    </row>
    <row r="349" spans="25:27" x14ac:dyDescent="0.25">
      <c r="Y349" s="5" t="s">
        <v>551</v>
      </c>
      <c r="Z349">
        <v>1</v>
      </c>
      <c r="AA349">
        <v>15</v>
      </c>
    </row>
    <row r="350" spans="25:27" x14ac:dyDescent="0.25">
      <c r="Y350" s="5" t="s">
        <v>553</v>
      </c>
      <c r="Z350">
        <v>2</v>
      </c>
      <c r="AA350">
        <v>12</v>
      </c>
    </row>
    <row r="351" spans="25:27" x14ac:dyDescent="0.25">
      <c r="Y351" s="4">
        <v>43517</v>
      </c>
      <c r="Z351">
        <v>4</v>
      </c>
      <c r="AA351">
        <v>34</v>
      </c>
    </row>
    <row r="352" spans="25:27" x14ac:dyDescent="0.25">
      <c r="Y352" s="5" t="s">
        <v>549</v>
      </c>
      <c r="Z352">
        <v>1</v>
      </c>
      <c r="AA352">
        <v>16</v>
      </c>
    </row>
    <row r="353" spans="25:27" x14ac:dyDescent="0.25">
      <c r="Y353" s="5" t="s">
        <v>551</v>
      </c>
      <c r="Z353">
        <v>1</v>
      </c>
      <c r="AA353">
        <v>3</v>
      </c>
    </row>
    <row r="354" spans="25:27" x14ac:dyDescent="0.25">
      <c r="Y354" s="5" t="s">
        <v>552</v>
      </c>
      <c r="Z354">
        <v>1</v>
      </c>
      <c r="AA354">
        <v>1</v>
      </c>
    </row>
    <row r="355" spans="25:27" x14ac:dyDescent="0.25">
      <c r="Y355" s="5" t="s">
        <v>553</v>
      </c>
      <c r="Z355">
        <v>1</v>
      </c>
      <c r="AA355">
        <v>14</v>
      </c>
    </row>
    <row r="356" spans="25:27" x14ac:dyDescent="0.25">
      <c r="Y356" s="4">
        <v>43518</v>
      </c>
      <c r="Z356">
        <v>6</v>
      </c>
      <c r="AA356">
        <v>74</v>
      </c>
    </row>
    <row r="357" spans="25:27" x14ac:dyDescent="0.25">
      <c r="Y357" s="5" t="s">
        <v>550</v>
      </c>
      <c r="Z357">
        <v>1</v>
      </c>
      <c r="AA357">
        <v>13</v>
      </c>
    </row>
    <row r="358" spans="25:27" x14ac:dyDescent="0.25">
      <c r="Y358" s="5" t="s">
        <v>551</v>
      </c>
      <c r="Z358">
        <v>2</v>
      </c>
      <c r="AA358">
        <v>23</v>
      </c>
    </row>
    <row r="359" spans="25:27" x14ac:dyDescent="0.25">
      <c r="Y359" s="5" t="s">
        <v>552</v>
      </c>
      <c r="Z359">
        <v>1</v>
      </c>
      <c r="AA359">
        <v>7</v>
      </c>
    </row>
    <row r="360" spans="25:27" x14ac:dyDescent="0.25">
      <c r="Y360" s="5" t="s">
        <v>553</v>
      </c>
      <c r="Z360">
        <v>1</v>
      </c>
      <c r="AA360">
        <v>17</v>
      </c>
    </row>
    <row r="361" spans="25:27" x14ac:dyDescent="0.25">
      <c r="Y361" s="5" t="s">
        <v>555</v>
      </c>
      <c r="Z361">
        <v>1</v>
      </c>
      <c r="AA361">
        <v>14</v>
      </c>
    </row>
    <row r="362" spans="25:27" x14ac:dyDescent="0.25">
      <c r="Y362" s="4">
        <v>43521</v>
      </c>
      <c r="Z362">
        <v>9</v>
      </c>
      <c r="AA362">
        <v>113</v>
      </c>
    </row>
    <row r="363" spans="25:27" x14ac:dyDescent="0.25">
      <c r="Y363" s="5" t="s">
        <v>561</v>
      </c>
      <c r="Z363">
        <v>1</v>
      </c>
      <c r="AA363">
        <v>15</v>
      </c>
    </row>
    <row r="364" spans="25:27" x14ac:dyDescent="0.25">
      <c r="Y364" s="9"/>
      <c r="Z364">
        <v>1</v>
      </c>
      <c r="AA364">
        <v>15</v>
      </c>
    </row>
    <row r="365" spans="25:27" x14ac:dyDescent="0.25">
      <c r="Y365" s="5" t="s">
        <v>550</v>
      </c>
      <c r="Z365">
        <v>1</v>
      </c>
      <c r="AA365">
        <v>11</v>
      </c>
    </row>
    <row r="366" spans="25:27" x14ac:dyDescent="0.25">
      <c r="Y366" s="5" t="s">
        <v>551</v>
      </c>
      <c r="Z366">
        <v>2</v>
      </c>
      <c r="AA366">
        <v>21</v>
      </c>
    </row>
    <row r="367" spans="25:27" x14ac:dyDescent="0.25">
      <c r="Y367" s="5" t="s">
        <v>552</v>
      </c>
      <c r="Z367">
        <v>1</v>
      </c>
      <c r="AA367">
        <v>19</v>
      </c>
    </row>
    <row r="368" spans="25:27" x14ac:dyDescent="0.25">
      <c r="Y368" s="5" t="s">
        <v>553</v>
      </c>
      <c r="Z368">
        <v>2</v>
      </c>
      <c r="AA368">
        <v>14</v>
      </c>
    </row>
    <row r="369" spans="25:27" x14ac:dyDescent="0.25">
      <c r="Y369" s="5" t="s">
        <v>554</v>
      </c>
      <c r="Z369">
        <v>1</v>
      </c>
      <c r="AA369">
        <v>16</v>
      </c>
    </row>
    <row r="370" spans="25:27" x14ac:dyDescent="0.25">
      <c r="Y370" s="5" t="s">
        <v>556</v>
      </c>
      <c r="Z370">
        <v>1</v>
      </c>
      <c r="AA370">
        <v>17</v>
      </c>
    </row>
    <row r="371" spans="25:27" x14ac:dyDescent="0.25">
      <c r="Y371" s="4">
        <v>43522</v>
      </c>
      <c r="Z371">
        <v>2</v>
      </c>
      <c r="AA371">
        <v>26</v>
      </c>
    </row>
    <row r="372" spans="25:27" x14ac:dyDescent="0.25">
      <c r="Y372" s="5" t="s">
        <v>550</v>
      </c>
      <c r="Z372">
        <v>1</v>
      </c>
      <c r="AA372">
        <v>12</v>
      </c>
    </row>
    <row r="373" spans="25:27" x14ac:dyDescent="0.25">
      <c r="Y373" s="5" t="s">
        <v>553</v>
      </c>
      <c r="Z373">
        <v>1</v>
      </c>
      <c r="AA373">
        <v>14</v>
      </c>
    </row>
    <row r="374" spans="25:27" x14ac:dyDescent="0.25">
      <c r="Y374" s="4">
        <v>43523</v>
      </c>
      <c r="Z374">
        <v>5</v>
      </c>
      <c r="AA374">
        <v>49</v>
      </c>
    </row>
    <row r="375" spans="25:27" x14ac:dyDescent="0.25">
      <c r="Y375" s="5" t="s">
        <v>550</v>
      </c>
      <c r="Z375">
        <v>3</v>
      </c>
      <c r="AA375">
        <v>28</v>
      </c>
    </row>
    <row r="376" spans="25:27" x14ac:dyDescent="0.25">
      <c r="Y376" s="5" t="s">
        <v>551</v>
      </c>
      <c r="Z376">
        <v>1</v>
      </c>
      <c r="AA376">
        <v>2</v>
      </c>
    </row>
    <row r="377" spans="25:27" x14ac:dyDescent="0.25">
      <c r="Y377" s="5" t="s">
        <v>553</v>
      </c>
      <c r="Z377">
        <v>1</v>
      </c>
      <c r="AA377">
        <v>19</v>
      </c>
    </row>
    <row r="378" spans="25:27" x14ac:dyDescent="0.25">
      <c r="Y378" s="4">
        <v>43524</v>
      </c>
      <c r="Z378">
        <v>2</v>
      </c>
      <c r="AA378">
        <v>18</v>
      </c>
    </row>
    <row r="379" spans="25:27" x14ac:dyDescent="0.25">
      <c r="Y379" s="5" t="s">
        <v>553</v>
      </c>
      <c r="Z379">
        <v>1</v>
      </c>
      <c r="AA379">
        <v>13</v>
      </c>
    </row>
    <row r="380" spans="25:27" x14ac:dyDescent="0.25">
      <c r="Y380" s="5" t="s">
        <v>555</v>
      </c>
      <c r="Z380">
        <v>1</v>
      </c>
      <c r="AA380">
        <v>5</v>
      </c>
    </row>
    <row r="381" spans="25:27" x14ac:dyDescent="0.25">
      <c r="Y381" s="4" t="s">
        <v>504</v>
      </c>
      <c r="Z381">
        <v>311</v>
      </c>
      <c r="AA381">
        <v>3184</v>
      </c>
    </row>
  </sheetData>
  <pageMargins left="0.7" right="0.7" top="0.75" bottom="0.75" header="0.3" footer="0.3"/>
  <pageSetup paperSize="9" orientation="portrait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A5A6-0EB3-43E1-9C14-33F6E8E9B828}">
  <dimension ref="A1:M150"/>
  <sheetViews>
    <sheetView workbookViewId="0">
      <selection activeCell="L19" sqref="L19"/>
    </sheetView>
  </sheetViews>
  <sheetFormatPr defaultRowHeight="15" x14ac:dyDescent="0.25"/>
  <cols>
    <col min="1" max="1" width="18.7109375" customWidth="1"/>
    <col min="2" max="2" width="8.7109375" customWidth="1"/>
    <col min="3" max="3" width="14.140625" bestFit="1" customWidth="1"/>
    <col min="4" max="4" width="8.85546875" customWidth="1"/>
    <col min="5" max="5" width="16.140625" customWidth="1"/>
    <col min="8" max="8" width="13.140625" bestFit="1" customWidth="1"/>
    <col min="10" max="10" width="13.140625" bestFit="1" customWidth="1"/>
    <col min="12" max="12" width="34.5703125" bestFit="1" customWidth="1"/>
    <col min="13" max="13" width="16.140625" bestFit="1" customWidth="1"/>
  </cols>
  <sheetData>
    <row r="1" spans="1:13" x14ac:dyDescent="0.25">
      <c r="A1" s="7" t="s">
        <v>570</v>
      </c>
      <c r="C1" s="2" t="s">
        <v>503</v>
      </c>
      <c r="E1" t="s">
        <v>576</v>
      </c>
      <c r="F1" t="s">
        <v>577</v>
      </c>
      <c r="H1" s="2" t="s">
        <v>503</v>
      </c>
      <c r="J1" s="2" t="s">
        <v>503</v>
      </c>
      <c r="L1" s="2" t="s">
        <v>503</v>
      </c>
      <c r="M1" t="s">
        <v>505</v>
      </c>
    </row>
    <row r="2" spans="1:13" x14ac:dyDescent="0.25">
      <c r="A2" t="s">
        <v>573</v>
      </c>
      <c r="C2" s="3" t="s">
        <v>560</v>
      </c>
      <c r="E2">
        <v>2010</v>
      </c>
      <c r="F2">
        <v>1</v>
      </c>
      <c r="H2" s="3" t="s">
        <v>549</v>
      </c>
      <c r="J2" s="3" t="s">
        <v>560</v>
      </c>
      <c r="L2" s="3" t="s">
        <v>99</v>
      </c>
      <c r="M2" s="12">
        <v>137</v>
      </c>
    </row>
    <row r="3" spans="1:13" x14ac:dyDescent="0.25">
      <c r="A3" t="s">
        <v>571</v>
      </c>
      <c r="C3" s="5" t="s">
        <v>558</v>
      </c>
      <c r="E3">
        <v>2011</v>
      </c>
      <c r="F3">
        <v>3</v>
      </c>
      <c r="H3" s="3" t="s">
        <v>550</v>
      </c>
      <c r="J3" s="3" t="s">
        <v>561</v>
      </c>
      <c r="L3" s="5" t="s">
        <v>105</v>
      </c>
      <c r="M3" s="12">
        <v>41</v>
      </c>
    </row>
    <row r="4" spans="1:13" x14ac:dyDescent="0.25">
      <c r="A4" t="s">
        <v>572</v>
      </c>
      <c r="C4" s="9" t="s">
        <v>508</v>
      </c>
      <c r="E4">
        <v>2012</v>
      </c>
      <c r="F4">
        <v>7</v>
      </c>
      <c r="H4" s="3" t="s">
        <v>551</v>
      </c>
      <c r="J4" s="3" t="s">
        <v>562</v>
      </c>
      <c r="L4" s="5" t="s">
        <v>70</v>
      </c>
      <c r="M4" s="12">
        <v>63</v>
      </c>
    </row>
    <row r="5" spans="1:13" x14ac:dyDescent="0.25">
      <c r="C5" s="10" t="s">
        <v>574</v>
      </c>
      <c r="E5">
        <v>2013</v>
      </c>
      <c r="F5">
        <v>11</v>
      </c>
      <c r="H5" s="3" t="s">
        <v>552</v>
      </c>
      <c r="J5" s="3" t="s">
        <v>563</v>
      </c>
      <c r="L5" s="5" t="s">
        <v>87</v>
      </c>
      <c r="M5" s="12">
        <v>6</v>
      </c>
    </row>
    <row r="6" spans="1:13" x14ac:dyDescent="0.25">
      <c r="C6" s="11" t="s">
        <v>508</v>
      </c>
      <c r="E6">
        <v>2014</v>
      </c>
      <c r="F6">
        <v>12</v>
      </c>
      <c r="H6" s="3" t="s">
        <v>553</v>
      </c>
      <c r="J6" s="3" t="s">
        <v>549</v>
      </c>
      <c r="L6" s="5" t="s">
        <v>26</v>
      </c>
      <c r="M6" s="12">
        <v>27</v>
      </c>
    </row>
    <row r="7" spans="1:13" x14ac:dyDescent="0.25">
      <c r="C7" s="3" t="s">
        <v>561</v>
      </c>
      <c r="E7">
        <v>2015</v>
      </c>
      <c r="F7">
        <v>21</v>
      </c>
      <c r="H7" s="3" t="s">
        <v>554</v>
      </c>
      <c r="J7" s="3" t="s">
        <v>550</v>
      </c>
      <c r="L7" s="3" t="s">
        <v>163</v>
      </c>
      <c r="M7" s="12">
        <v>39</v>
      </c>
    </row>
    <row r="8" spans="1:13" x14ac:dyDescent="0.25">
      <c r="C8" s="5" t="s">
        <v>549</v>
      </c>
      <c r="E8">
        <v>2016</v>
      </c>
      <c r="F8">
        <v>21</v>
      </c>
      <c r="H8" s="3" t="s">
        <v>555</v>
      </c>
      <c r="J8" s="3" t="s">
        <v>551</v>
      </c>
      <c r="L8" s="5" t="s">
        <v>70</v>
      </c>
      <c r="M8" s="12">
        <v>23</v>
      </c>
    </row>
    <row r="9" spans="1:13" x14ac:dyDescent="0.25">
      <c r="C9" s="5" t="s">
        <v>558</v>
      </c>
      <c r="E9">
        <v>2017</v>
      </c>
      <c r="F9">
        <v>8</v>
      </c>
      <c r="H9" s="3" t="s">
        <v>556</v>
      </c>
      <c r="J9" s="3" t="s">
        <v>552</v>
      </c>
      <c r="L9" s="5" t="s">
        <v>26</v>
      </c>
      <c r="M9" s="12">
        <v>16</v>
      </c>
    </row>
    <row r="10" spans="1:13" x14ac:dyDescent="0.25">
      <c r="C10" s="9" t="s">
        <v>508</v>
      </c>
      <c r="E10">
        <v>2018</v>
      </c>
      <c r="F10">
        <v>12</v>
      </c>
      <c r="H10" s="3" t="s">
        <v>557</v>
      </c>
      <c r="J10" s="3" t="s">
        <v>553</v>
      </c>
      <c r="L10" s="3" t="s">
        <v>25</v>
      </c>
      <c r="M10" s="12">
        <v>3008</v>
      </c>
    </row>
    <row r="11" spans="1:13" x14ac:dyDescent="0.25">
      <c r="C11" s="10" t="s">
        <v>575</v>
      </c>
      <c r="E11" t="s">
        <v>504</v>
      </c>
      <c r="F11">
        <f>SUM(F2:F10)</f>
        <v>96</v>
      </c>
      <c r="H11" s="3" t="s">
        <v>558</v>
      </c>
      <c r="J11" s="3" t="s">
        <v>554</v>
      </c>
      <c r="L11" s="5" t="s">
        <v>268</v>
      </c>
      <c r="M11" s="12">
        <v>21</v>
      </c>
    </row>
    <row r="12" spans="1:13" x14ac:dyDescent="0.25">
      <c r="C12" s="11" t="s">
        <v>508</v>
      </c>
      <c r="H12" s="3" t="s">
        <v>504</v>
      </c>
      <c r="J12" s="3" t="s">
        <v>555</v>
      </c>
      <c r="L12" s="5" t="s">
        <v>105</v>
      </c>
      <c r="M12" s="12">
        <v>268</v>
      </c>
    </row>
    <row r="13" spans="1:13" x14ac:dyDescent="0.25">
      <c r="C13" s="3" t="s">
        <v>562</v>
      </c>
      <c r="J13" s="3" t="s">
        <v>556</v>
      </c>
      <c r="L13" s="5" t="s">
        <v>70</v>
      </c>
      <c r="M13" s="12">
        <v>764</v>
      </c>
    </row>
    <row r="14" spans="1:13" x14ac:dyDescent="0.25">
      <c r="C14" s="5" t="s">
        <v>554</v>
      </c>
      <c r="J14" s="3" t="s">
        <v>557</v>
      </c>
      <c r="L14" s="5" t="s">
        <v>354</v>
      </c>
      <c r="M14" s="12">
        <v>2</v>
      </c>
    </row>
    <row r="15" spans="1:13" x14ac:dyDescent="0.25">
      <c r="C15" s="5" t="s">
        <v>558</v>
      </c>
      <c r="J15" s="5" t="s">
        <v>510</v>
      </c>
      <c r="L15" s="5" t="s">
        <v>87</v>
      </c>
      <c r="M15" s="12">
        <v>88</v>
      </c>
    </row>
    <row r="16" spans="1:13" x14ac:dyDescent="0.25">
      <c r="C16" s="9" t="s">
        <v>508</v>
      </c>
      <c r="J16" s="3" t="s">
        <v>504</v>
      </c>
      <c r="L16" s="5" t="s">
        <v>26</v>
      </c>
      <c r="M16" s="12">
        <v>1865</v>
      </c>
    </row>
    <row r="17" spans="3:13" x14ac:dyDescent="0.25">
      <c r="C17" s="10" t="s">
        <v>574</v>
      </c>
      <c r="L17" s="3" t="s">
        <v>504</v>
      </c>
      <c r="M17" s="12">
        <v>3184</v>
      </c>
    </row>
    <row r="18" spans="3:13" x14ac:dyDescent="0.25">
      <c r="C18" s="11" t="s">
        <v>508</v>
      </c>
    </row>
    <row r="19" spans="3:13" x14ac:dyDescent="0.25">
      <c r="C19" s="11" t="s">
        <v>514</v>
      </c>
    </row>
    <row r="20" spans="3:13" x14ac:dyDescent="0.25">
      <c r="C20" s="3" t="s">
        <v>563</v>
      </c>
    </row>
    <row r="21" spans="3:13" x14ac:dyDescent="0.25">
      <c r="C21" s="5" t="s">
        <v>551</v>
      </c>
    </row>
    <row r="22" spans="3:13" x14ac:dyDescent="0.25">
      <c r="C22" s="5" t="s">
        <v>554</v>
      </c>
    </row>
    <row r="23" spans="3:13" x14ac:dyDescent="0.25">
      <c r="C23" s="5" t="s">
        <v>557</v>
      </c>
    </row>
    <row r="24" spans="3:13" x14ac:dyDescent="0.25">
      <c r="C24" s="5" t="s">
        <v>558</v>
      </c>
    </row>
    <row r="25" spans="3:13" x14ac:dyDescent="0.25">
      <c r="C25" s="9" t="s">
        <v>508</v>
      </c>
    </row>
    <row r="26" spans="3:13" x14ac:dyDescent="0.25">
      <c r="C26" s="10" t="s">
        <v>574</v>
      </c>
    </row>
    <row r="27" spans="3:13" x14ac:dyDescent="0.25">
      <c r="C27" s="11" t="s">
        <v>508</v>
      </c>
    </row>
    <row r="28" spans="3:13" x14ac:dyDescent="0.25">
      <c r="C28" s="11" t="s">
        <v>510</v>
      </c>
    </row>
    <row r="29" spans="3:13" x14ac:dyDescent="0.25">
      <c r="C29" s="10" t="s">
        <v>575</v>
      </c>
    </row>
    <row r="30" spans="3:13" x14ac:dyDescent="0.25">
      <c r="C30" s="11" t="s">
        <v>508</v>
      </c>
    </row>
    <row r="31" spans="3:13" x14ac:dyDescent="0.25">
      <c r="C31" s="3" t="s">
        <v>549</v>
      </c>
    </row>
    <row r="32" spans="3:13" x14ac:dyDescent="0.25">
      <c r="C32" s="5" t="s">
        <v>550</v>
      </c>
    </row>
    <row r="33" spans="3:3" x14ac:dyDescent="0.25">
      <c r="C33" s="5" t="s">
        <v>554</v>
      </c>
    </row>
    <row r="34" spans="3:3" x14ac:dyDescent="0.25">
      <c r="C34" s="5" t="s">
        <v>558</v>
      </c>
    </row>
    <row r="35" spans="3:3" x14ac:dyDescent="0.25">
      <c r="C35" s="9" t="s">
        <v>508</v>
      </c>
    </row>
    <row r="36" spans="3:3" x14ac:dyDescent="0.25">
      <c r="C36" s="10" t="s">
        <v>574</v>
      </c>
    </row>
    <row r="37" spans="3:3" x14ac:dyDescent="0.25">
      <c r="C37" s="11" t="s">
        <v>512</v>
      </c>
    </row>
    <row r="38" spans="3:3" x14ac:dyDescent="0.25">
      <c r="C38" s="11" t="s">
        <v>510</v>
      </c>
    </row>
    <row r="39" spans="3:3" x14ac:dyDescent="0.25">
      <c r="C39" s="10" t="s">
        <v>575</v>
      </c>
    </row>
    <row r="40" spans="3:3" x14ac:dyDescent="0.25">
      <c r="C40" s="11" t="s">
        <v>512</v>
      </c>
    </row>
    <row r="41" spans="3:3" x14ac:dyDescent="0.25">
      <c r="C41" s="3" t="s">
        <v>550</v>
      </c>
    </row>
    <row r="42" spans="3:3" x14ac:dyDescent="0.25">
      <c r="C42" s="5" t="s">
        <v>550</v>
      </c>
    </row>
    <row r="43" spans="3:3" x14ac:dyDescent="0.25">
      <c r="C43" s="5" t="s">
        <v>551</v>
      </c>
    </row>
    <row r="44" spans="3:3" x14ac:dyDescent="0.25">
      <c r="C44" s="5" t="s">
        <v>552</v>
      </c>
    </row>
    <row r="45" spans="3:3" x14ac:dyDescent="0.25">
      <c r="C45" s="5" t="s">
        <v>553</v>
      </c>
    </row>
    <row r="46" spans="3:3" x14ac:dyDescent="0.25">
      <c r="C46" s="5" t="s">
        <v>554</v>
      </c>
    </row>
    <row r="47" spans="3:3" x14ac:dyDescent="0.25">
      <c r="C47" s="5" t="s">
        <v>555</v>
      </c>
    </row>
    <row r="48" spans="3:3" x14ac:dyDescent="0.25">
      <c r="C48" s="5" t="s">
        <v>556</v>
      </c>
    </row>
    <row r="49" spans="3:3" x14ac:dyDescent="0.25">
      <c r="C49" s="5" t="s">
        <v>557</v>
      </c>
    </row>
    <row r="50" spans="3:3" x14ac:dyDescent="0.25">
      <c r="C50" s="5" t="s">
        <v>558</v>
      </c>
    </row>
    <row r="51" spans="3:3" x14ac:dyDescent="0.25">
      <c r="C51" s="9" t="s">
        <v>508</v>
      </c>
    </row>
    <row r="52" spans="3:3" x14ac:dyDescent="0.25">
      <c r="C52" s="10" t="s">
        <v>574</v>
      </c>
    </row>
    <row r="53" spans="3:3" x14ac:dyDescent="0.25">
      <c r="C53" s="11" t="s">
        <v>508</v>
      </c>
    </row>
    <row r="54" spans="3:3" x14ac:dyDescent="0.25">
      <c r="C54" s="11" t="s">
        <v>512</v>
      </c>
    </row>
    <row r="55" spans="3:3" x14ac:dyDescent="0.25">
      <c r="C55" s="11" t="s">
        <v>510</v>
      </c>
    </row>
    <row r="56" spans="3:3" x14ac:dyDescent="0.25">
      <c r="C56" s="11" t="s">
        <v>514</v>
      </c>
    </row>
    <row r="57" spans="3:3" x14ac:dyDescent="0.25">
      <c r="C57" s="10" t="s">
        <v>575</v>
      </c>
    </row>
    <row r="58" spans="3:3" x14ac:dyDescent="0.25">
      <c r="C58" s="11" t="s">
        <v>508</v>
      </c>
    </row>
    <row r="59" spans="3:3" x14ac:dyDescent="0.25">
      <c r="C59" s="11" t="s">
        <v>512</v>
      </c>
    </row>
    <row r="60" spans="3:3" x14ac:dyDescent="0.25">
      <c r="C60" s="11" t="s">
        <v>510</v>
      </c>
    </row>
    <row r="61" spans="3:3" x14ac:dyDescent="0.25">
      <c r="C61" s="3" t="s">
        <v>551</v>
      </c>
    </row>
    <row r="62" spans="3:3" x14ac:dyDescent="0.25">
      <c r="C62" s="5" t="s">
        <v>552</v>
      </c>
    </row>
    <row r="63" spans="3:3" x14ac:dyDescent="0.25">
      <c r="C63" s="5" t="s">
        <v>553</v>
      </c>
    </row>
    <row r="64" spans="3:3" x14ac:dyDescent="0.25">
      <c r="C64" s="5" t="s">
        <v>554</v>
      </c>
    </row>
    <row r="65" spans="3:3" x14ac:dyDescent="0.25">
      <c r="C65" s="5" t="s">
        <v>555</v>
      </c>
    </row>
    <row r="66" spans="3:3" x14ac:dyDescent="0.25">
      <c r="C66" s="5" t="s">
        <v>556</v>
      </c>
    </row>
    <row r="67" spans="3:3" x14ac:dyDescent="0.25">
      <c r="C67" s="5" t="s">
        <v>557</v>
      </c>
    </row>
    <row r="68" spans="3:3" x14ac:dyDescent="0.25">
      <c r="C68" s="5" t="s">
        <v>558</v>
      </c>
    </row>
    <row r="69" spans="3:3" x14ac:dyDescent="0.25">
      <c r="C69" s="9" t="s">
        <v>508</v>
      </c>
    </row>
    <row r="70" spans="3:3" x14ac:dyDescent="0.25">
      <c r="C70" s="10" t="s">
        <v>574</v>
      </c>
    </row>
    <row r="71" spans="3:3" x14ac:dyDescent="0.25">
      <c r="C71" s="11" t="s">
        <v>508</v>
      </c>
    </row>
    <row r="72" spans="3:3" x14ac:dyDescent="0.25">
      <c r="C72" s="11" t="s">
        <v>512</v>
      </c>
    </row>
    <row r="73" spans="3:3" x14ac:dyDescent="0.25">
      <c r="C73" s="11" t="s">
        <v>510</v>
      </c>
    </row>
    <row r="74" spans="3:3" x14ac:dyDescent="0.25">
      <c r="C74" s="10" t="s">
        <v>575</v>
      </c>
    </row>
    <row r="75" spans="3:3" x14ac:dyDescent="0.25">
      <c r="C75" s="11" t="s">
        <v>508</v>
      </c>
    </row>
    <row r="76" spans="3:3" x14ac:dyDescent="0.25">
      <c r="C76" s="11" t="s">
        <v>512</v>
      </c>
    </row>
    <row r="77" spans="3:3" x14ac:dyDescent="0.25">
      <c r="C77" s="11" t="s">
        <v>510</v>
      </c>
    </row>
    <row r="78" spans="3:3" x14ac:dyDescent="0.25">
      <c r="C78" s="11" t="s">
        <v>514</v>
      </c>
    </row>
    <row r="79" spans="3:3" x14ac:dyDescent="0.25">
      <c r="C79" s="3" t="s">
        <v>552</v>
      </c>
    </row>
    <row r="80" spans="3:3" x14ac:dyDescent="0.25">
      <c r="C80" s="5" t="s">
        <v>553</v>
      </c>
    </row>
    <row r="81" spans="3:3" x14ac:dyDescent="0.25">
      <c r="C81" s="5" t="s">
        <v>554</v>
      </c>
    </row>
    <row r="82" spans="3:3" x14ac:dyDescent="0.25">
      <c r="C82" s="5" t="s">
        <v>555</v>
      </c>
    </row>
    <row r="83" spans="3:3" x14ac:dyDescent="0.25">
      <c r="C83" s="5" t="s">
        <v>556</v>
      </c>
    </row>
    <row r="84" spans="3:3" x14ac:dyDescent="0.25">
      <c r="C84" s="5" t="s">
        <v>558</v>
      </c>
    </row>
    <row r="85" spans="3:3" x14ac:dyDescent="0.25">
      <c r="C85" s="9" t="s">
        <v>508</v>
      </c>
    </row>
    <row r="86" spans="3:3" x14ac:dyDescent="0.25">
      <c r="C86" s="10" t="s">
        <v>574</v>
      </c>
    </row>
    <row r="87" spans="3:3" x14ac:dyDescent="0.25">
      <c r="C87" s="11" t="s">
        <v>508</v>
      </c>
    </row>
    <row r="88" spans="3:3" x14ac:dyDescent="0.25">
      <c r="C88" s="11" t="s">
        <v>512</v>
      </c>
    </row>
    <row r="89" spans="3:3" x14ac:dyDescent="0.25">
      <c r="C89" s="11" t="s">
        <v>510</v>
      </c>
    </row>
    <row r="90" spans="3:3" x14ac:dyDescent="0.25">
      <c r="C90" s="10" t="s">
        <v>575</v>
      </c>
    </row>
    <row r="91" spans="3:3" x14ac:dyDescent="0.25">
      <c r="C91" s="11" t="s">
        <v>508</v>
      </c>
    </row>
    <row r="92" spans="3:3" x14ac:dyDescent="0.25">
      <c r="C92" s="11" t="s">
        <v>512</v>
      </c>
    </row>
    <row r="93" spans="3:3" x14ac:dyDescent="0.25">
      <c r="C93" s="11" t="s">
        <v>510</v>
      </c>
    </row>
    <row r="94" spans="3:3" x14ac:dyDescent="0.25">
      <c r="C94" s="3" t="s">
        <v>553</v>
      </c>
    </row>
    <row r="95" spans="3:3" x14ac:dyDescent="0.25">
      <c r="C95" s="5" t="s">
        <v>553</v>
      </c>
    </row>
    <row r="96" spans="3:3" x14ac:dyDescent="0.25">
      <c r="C96" s="5" t="s">
        <v>554</v>
      </c>
    </row>
    <row r="97" spans="3:3" x14ac:dyDescent="0.25">
      <c r="C97" s="5" t="s">
        <v>555</v>
      </c>
    </row>
    <row r="98" spans="3:3" x14ac:dyDescent="0.25">
      <c r="C98" s="5" t="s">
        <v>556</v>
      </c>
    </row>
    <row r="99" spans="3:3" x14ac:dyDescent="0.25">
      <c r="C99" s="5" t="s">
        <v>557</v>
      </c>
    </row>
    <row r="100" spans="3:3" x14ac:dyDescent="0.25">
      <c r="C100" s="5" t="s">
        <v>558</v>
      </c>
    </row>
    <row r="101" spans="3:3" x14ac:dyDescent="0.25">
      <c r="C101" s="9" t="s">
        <v>508</v>
      </c>
    </row>
    <row r="102" spans="3:3" x14ac:dyDescent="0.25">
      <c r="C102" s="10" t="s">
        <v>574</v>
      </c>
    </row>
    <row r="103" spans="3:3" x14ac:dyDescent="0.25">
      <c r="C103" s="11" t="s">
        <v>508</v>
      </c>
    </row>
    <row r="104" spans="3:3" x14ac:dyDescent="0.25">
      <c r="C104" s="11" t="s">
        <v>512</v>
      </c>
    </row>
    <row r="105" spans="3:3" x14ac:dyDescent="0.25">
      <c r="C105" s="11" t="s">
        <v>510</v>
      </c>
    </row>
    <row r="106" spans="3:3" x14ac:dyDescent="0.25">
      <c r="C106" s="10" t="s">
        <v>575</v>
      </c>
    </row>
    <row r="107" spans="3:3" x14ac:dyDescent="0.25">
      <c r="C107" s="11" t="s">
        <v>508</v>
      </c>
    </row>
    <row r="108" spans="3:3" x14ac:dyDescent="0.25">
      <c r="C108" s="11" t="s">
        <v>512</v>
      </c>
    </row>
    <row r="109" spans="3:3" x14ac:dyDescent="0.25">
      <c r="C109" s="11" t="s">
        <v>510</v>
      </c>
    </row>
    <row r="110" spans="3:3" x14ac:dyDescent="0.25">
      <c r="C110" s="3" t="s">
        <v>554</v>
      </c>
    </row>
    <row r="111" spans="3:3" x14ac:dyDescent="0.25">
      <c r="C111" s="5" t="s">
        <v>554</v>
      </c>
    </row>
    <row r="112" spans="3:3" x14ac:dyDescent="0.25">
      <c r="C112" s="5" t="s">
        <v>555</v>
      </c>
    </row>
    <row r="113" spans="3:3" x14ac:dyDescent="0.25">
      <c r="C113" s="5" t="s">
        <v>556</v>
      </c>
    </row>
    <row r="114" spans="3:3" x14ac:dyDescent="0.25">
      <c r="C114" s="5" t="s">
        <v>557</v>
      </c>
    </row>
    <row r="115" spans="3:3" x14ac:dyDescent="0.25">
      <c r="C115" s="5" t="s">
        <v>558</v>
      </c>
    </row>
    <row r="116" spans="3:3" x14ac:dyDescent="0.25">
      <c r="C116" s="9" t="s">
        <v>508</v>
      </c>
    </row>
    <row r="117" spans="3:3" x14ac:dyDescent="0.25">
      <c r="C117" s="10" t="s">
        <v>574</v>
      </c>
    </row>
    <row r="118" spans="3:3" x14ac:dyDescent="0.25">
      <c r="C118" s="11" t="s">
        <v>508</v>
      </c>
    </row>
    <row r="119" spans="3:3" x14ac:dyDescent="0.25">
      <c r="C119" s="11" t="s">
        <v>512</v>
      </c>
    </row>
    <row r="120" spans="3:3" x14ac:dyDescent="0.25">
      <c r="C120" s="11" t="s">
        <v>510</v>
      </c>
    </row>
    <row r="121" spans="3:3" x14ac:dyDescent="0.25">
      <c r="C121" s="10" t="s">
        <v>575</v>
      </c>
    </row>
    <row r="122" spans="3:3" x14ac:dyDescent="0.25">
      <c r="C122" s="11" t="s">
        <v>508</v>
      </c>
    </row>
    <row r="123" spans="3:3" x14ac:dyDescent="0.25">
      <c r="C123" s="11" t="s">
        <v>512</v>
      </c>
    </row>
    <row r="124" spans="3:3" x14ac:dyDescent="0.25">
      <c r="C124" s="3" t="s">
        <v>555</v>
      </c>
    </row>
    <row r="125" spans="3:3" x14ac:dyDescent="0.25">
      <c r="C125" s="5" t="s">
        <v>558</v>
      </c>
    </row>
    <row r="126" spans="3:3" x14ac:dyDescent="0.25">
      <c r="C126" s="9" t="s">
        <v>508</v>
      </c>
    </row>
    <row r="127" spans="3:3" x14ac:dyDescent="0.25">
      <c r="C127" s="10" t="s">
        <v>574</v>
      </c>
    </row>
    <row r="128" spans="3:3" x14ac:dyDescent="0.25">
      <c r="C128" s="11" t="s">
        <v>508</v>
      </c>
    </row>
    <row r="129" spans="3:3" x14ac:dyDescent="0.25">
      <c r="C129" s="11" t="s">
        <v>512</v>
      </c>
    </row>
    <row r="130" spans="3:3" x14ac:dyDescent="0.25">
      <c r="C130" s="11" t="s">
        <v>510</v>
      </c>
    </row>
    <row r="131" spans="3:3" x14ac:dyDescent="0.25">
      <c r="C131" s="11" t="s">
        <v>514</v>
      </c>
    </row>
    <row r="132" spans="3:3" x14ac:dyDescent="0.25">
      <c r="C132" s="10" t="s">
        <v>575</v>
      </c>
    </row>
    <row r="133" spans="3:3" x14ac:dyDescent="0.25">
      <c r="C133" s="11" t="s">
        <v>508</v>
      </c>
    </row>
    <row r="134" spans="3:3" x14ac:dyDescent="0.25">
      <c r="C134" s="11" t="s">
        <v>512</v>
      </c>
    </row>
    <row r="135" spans="3:3" x14ac:dyDescent="0.25">
      <c r="C135" s="11" t="s">
        <v>510</v>
      </c>
    </row>
    <row r="136" spans="3:3" x14ac:dyDescent="0.25">
      <c r="C136" s="11" t="s">
        <v>514</v>
      </c>
    </row>
    <row r="137" spans="3:3" x14ac:dyDescent="0.25">
      <c r="C137" s="3" t="s">
        <v>556</v>
      </c>
    </row>
    <row r="138" spans="3:3" x14ac:dyDescent="0.25">
      <c r="C138" s="5" t="s">
        <v>558</v>
      </c>
    </row>
    <row r="139" spans="3:3" x14ac:dyDescent="0.25">
      <c r="C139" s="9" t="s">
        <v>508</v>
      </c>
    </row>
    <row r="140" spans="3:3" x14ac:dyDescent="0.25">
      <c r="C140" s="10" t="s">
        <v>574</v>
      </c>
    </row>
    <row r="141" spans="3:3" x14ac:dyDescent="0.25">
      <c r="C141" s="11" t="s">
        <v>508</v>
      </c>
    </row>
    <row r="142" spans="3:3" x14ac:dyDescent="0.25">
      <c r="C142" s="11" t="s">
        <v>512</v>
      </c>
    </row>
    <row r="143" spans="3:3" x14ac:dyDescent="0.25">
      <c r="C143" s="10" t="s">
        <v>575</v>
      </c>
    </row>
    <row r="144" spans="3:3" x14ac:dyDescent="0.25">
      <c r="C144" s="11" t="s">
        <v>508</v>
      </c>
    </row>
    <row r="145" spans="3:3" x14ac:dyDescent="0.25">
      <c r="C145" s="3" t="s">
        <v>557</v>
      </c>
    </row>
    <row r="146" spans="3:3" x14ac:dyDescent="0.25">
      <c r="C146" s="5" t="s">
        <v>558</v>
      </c>
    </row>
    <row r="147" spans="3:3" x14ac:dyDescent="0.25">
      <c r="C147" s="9" t="s">
        <v>508</v>
      </c>
    </row>
    <row r="148" spans="3:3" x14ac:dyDescent="0.25">
      <c r="C148" s="10" t="s">
        <v>574</v>
      </c>
    </row>
    <row r="149" spans="3:3" x14ac:dyDescent="0.25">
      <c r="C149" s="11" t="s">
        <v>510</v>
      </c>
    </row>
    <row r="150" spans="3:3" x14ac:dyDescent="0.25">
      <c r="C150" s="3" t="s">
        <v>504</v>
      </c>
    </row>
  </sheetData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DDBB-BFA5-4B39-AEEE-AB6D41B863E6}">
  <dimension ref="A1:C21"/>
  <sheetViews>
    <sheetView topLeftCell="A4" workbookViewId="0">
      <selection activeCell="B21" sqref="B21"/>
    </sheetView>
  </sheetViews>
  <sheetFormatPr defaultRowHeight="15" x14ac:dyDescent="0.25"/>
  <cols>
    <col min="1" max="1" width="48.5703125" customWidth="1"/>
    <col min="2" max="2" width="5" customWidth="1"/>
    <col min="3" max="3" width="5.42578125" customWidth="1"/>
  </cols>
  <sheetData>
    <row r="1" spans="1:3" x14ac:dyDescent="0.25">
      <c r="A1" t="s">
        <v>589</v>
      </c>
      <c r="B1" t="s">
        <v>610</v>
      </c>
    </row>
    <row r="2" spans="1:3" x14ac:dyDescent="0.25">
      <c r="A2" t="s">
        <v>590</v>
      </c>
      <c r="B2" t="s">
        <v>610</v>
      </c>
    </row>
    <row r="3" spans="1:3" x14ac:dyDescent="0.25">
      <c r="A3" t="s">
        <v>591</v>
      </c>
      <c r="B3" t="s">
        <v>610</v>
      </c>
    </row>
    <row r="4" spans="1:3" x14ac:dyDescent="0.25">
      <c r="A4" t="s">
        <v>592</v>
      </c>
      <c r="B4" t="s">
        <v>610</v>
      </c>
    </row>
    <row r="5" spans="1:3" x14ac:dyDescent="0.25">
      <c r="A5" t="s">
        <v>593</v>
      </c>
      <c r="B5" t="s">
        <v>610</v>
      </c>
      <c r="C5" t="s">
        <v>610</v>
      </c>
    </row>
    <row r="6" spans="1:3" x14ac:dyDescent="0.25">
      <c r="A6" t="s">
        <v>594</v>
      </c>
      <c r="B6" t="s">
        <v>610</v>
      </c>
    </row>
    <row r="7" spans="1:3" x14ac:dyDescent="0.25">
      <c r="A7" t="s">
        <v>595</v>
      </c>
      <c r="B7" t="s">
        <v>610</v>
      </c>
    </row>
    <row r="8" spans="1:3" x14ac:dyDescent="0.25">
      <c r="A8" t="s">
        <v>596</v>
      </c>
      <c r="B8" t="s">
        <v>610</v>
      </c>
      <c r="C8" t="s">
        <v>610</v>
      </c>
    </row>
    <row r="9" spans="1:3" x14ac:dyDescent="0.25">
      <c r="A9" t="s">
        <v>597</v>
      </c>
      <c r="B9" t="s">
        <v>610</v>
      </c>
      <c r="C9" t="s">
        <v>611</v>
      </c>
    </row>
    <row r="10" spans="1:3" x14ac:dyDescent="0.25">
      <c r="A10" t="s">
        <v>598</v>
      </c>
      <c r="B10" t="s">
        <v>610</v>
      </c>
      <c r="C10" t="s">
        <v>610</v>
      </c>
    </row>
    <row r="11" spans="1:3" x14ac:dyDescent="0.25">
      <c r="A11" t="s">
        <v>599</v>
      </c>
      <c r="B11" t="s">
        <v>610</v>
      </c>
      <c r="C11" t="s">
        <v>610</v>
      </c>
    </row>
    <row r="12" spans="1:3" x14ac:dyDescent="0.25">
      <c r="A12" t="s">
        <v>600</v>
      </c>
      <c r="B12" t="s">
        <v>610</v>
      </c>
    </row>
    <row r="13" spans="1:3" x14ac:dyDescent="0.25">
      <c r="A13" t="s">
        <v>601</v>
      </c>
      <c r="B13" t="s">
        <v>611</v>
      </c>
    </row>
    <row r="14" spans="1:3" x14ac:dyDescent="0.25">
      <c r="A14" t="s">
        <v>602</v>
      </c>
      <c r="B14" t="s">
        <v>610</v>
      </c>
    </row>
    <row r="15" spans="1:3" x14ac:dyDescent="0.25">
      <c r="A15" t="s">
        <v>603</v>
      </c>
      <c r="B15" t="s">
        <v>610</v>
      </c>
      <c r="C15" t="s">
        <v>611</v>
      </c>
    </row>
    <row r="16" spans="1:3" x14ac:dyDescent="0.25">
      <c r="A16" t="s">
        <v>604</v>
      </c>
      <c r="B16" t="s">
        <v>610</v>
      </c>
      <c r="C16" t="s">
        <v>611</v>
      </c>
    </row>
    <row r="17" spans="1:3" x14ac:dyDescent="0.25">
      <c r="A17" t="s">
        <v>605</v>
      </c>
      <c r="B17" t="s">
        <v>610</v>
      </c>
      <c r="C17" t="s">
        <v>610</v>
      </c>
    </row>
    <row r="18" spans="1:3" x14ac:dyDescent="0.25">
      <c r="A18" t="s">
        <v>606</v>
      </c>
      <c r="B18" t="s">
        <v>610</v>
      </c>
      <c r="C18" t="s">
        <v>610</v>
      </c>
    </row>
    <row r="19" spans="1:3" x14ac:dyDescent="0.25">
      <c r="A19" s="7" t="s">
        <v>607</v>
      </c>
    </row>
    <row r="20" spans="1:3" x14ac:dyDescent="0.25">
      <c r="A20" t="s">
        <v>608</v>
      </c>
    </row>
    <row r="21" spans="1:3" x14ac:dyDescent="0.25">
      <c r="A21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Lagacies Group - HR Data</vt:lpstr>
      <vt:lpstr>Table 2</vt:lpstr>
      <vt:lpstr>Analysis1</vt:lpstr>
      <vt:lpstr>Analysis2</vt:lpstr>
      <vt:lpstr>Analysis3</vt:lpstr>
      <vt:lpstr>LegaciesHRData</vt:lpstr>
      <vt:lpstr>LegaciesHRData2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Efemena Ikpro</dc:creator>
  <cp:lastModifiedBy>FOLASADE</cp:lastModifiedBy>
  <dcterms:created xsi:type="dcterms:W3CDTF">2023-07-03T16:12:35Z</dcterms:created>
  <dcterms:modified xsi:type="dcterms:W3CDTF">2023-07-06T21:06:27Z</dcterms:modified>
</cp:coreProperties>
</file>